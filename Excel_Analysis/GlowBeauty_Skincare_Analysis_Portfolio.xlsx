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C:\Users\user\Desktop\Princewill Data\"/>
    </mc:Choice>
  </mc:AlternateContent>
  <xr:revisionPtr revIDLastSave="0" documentId="8_{91EE5034-105C-49A4-8014-D62B1BD2EBF1}" xr6:coauthVersionLast="47" xr6:coauthVersionMax="47" xr10:uidLastSave="{00000000-0000-0000-0000-000000000000}"/>
  <bookViews>
    <workbookView xWindow="-120" yWindow="-120" windowWidth="20730" windowHeight="11160" tabRatio="697" activeTab="1" xr2:uid="{00000000-000D-0000-FFFF-FFFF00000000}"/>
  </bookViews>
  <sheets>
    <sheet name="Dirty_Skincare_Data" sheetId="1" r:id="rId1"/>
    <sheet name="Clean_Skincare_Data" sheetId="2" r:id="rId2"/>
    <sheet name="Product_Master" sheetId="4" r:id="rId3"/>
    <sheet name="Discount_Calculator" sheetId="3" r:id="rId4"/>
    <sheet name="Pivot_Table" sheetId="5" r:id="rId5"/>
  </sheets>
  <definedNames>
    <definedName name="Slicer_Age_Group">#N/A</definedName>
    <definedName name="Slicer_Category">#N/A</definedName>
    <definedName name="Slicer_Country">#N/A</definedName>
    <definedName name="Slicer_Gender">#N/A</definedName>
    <definedName name="Slicer_Sales_Channel">#N/A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3" l="1"/>
  <c r="B6" i="3" s="1"/>
  <c r="B3" i="3"/>
  <c r="C3" i="4"/>
  <c r="C4" i="4"/>
  <c r="C5" i="4"/>
  <c r="C6" i="4"/>
  <c r="C7" i="4"/>
  <c r="C8" i="4"/>
  <c r="C9" i="4"/>
  <c r="C10" i="4"/>
  <c r="C11" i="4"/>
  <c r="C12" i="4"/>
  <c r="C13" i="4"/>
  <c r="C14" i="4"/>
  <c r="C15" i="4"/>
  <c r="C16" i="4"/>
  <c r="C17" i="4"/>
  <c r="C18" i="4"/>
  <c r="C2" i="4"/>
  <c r="B3" i="4"/>
  <c r="B4" i="4"/>
  <c r="B5" i="4"/>
  <c r="B6" i="4"/>
  <c r="B7" i="4"/>
  <c r="B8" i="4"/>
  <c r="B9" i="4"/>
  <c r="B10" i="4"/>
  <c r="B11" i="4"/>
  <c r="B12" i="4"/>
  <c r="B13" i="4"/>
  <c r="B14" i="4"/>
  <c r="B15" i="4"/>
  <c r="B16" i="4"/>
  <c r="B17" i="4"/>
  <c r="B18" i="4"/>
  <c r="B2" i="4"/>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B8" i="3" l="1"/>
  <c r="B7" i="3"/>
  <c r="B9" i="3" s="1"/>
</calcChain>
</file>

<file path=xl/sharedStrings.xml><?xml version="1.0" encoding="utf-8"?>
<sst xmlns="http://schemas.openxmlformats.org/spreadsheetml/2006/main" count="10149" uniqueCount="1437">
  <si>
    <t>Order_ID</t>
  </si>
  <si>
    <t>Order_Date</t>
  </si>
  <si>
    <t>Product_ID</t>
  </si>
  <si>
    <t>Product_Name</t>
  </si>
  <si>
    <t>Category</t>
  </si>
  <si>
    <t>Brand</t>
  </si>
  <si>
    <t>Customer_ID</t>
  </si>
  <si>
    <t>Gender</t>
  </si>
  <si>
    <t>Age_Group</t>
  </si>
  <si>
    <t>Country</t>
  </si>
  <si>
    <t>Sales_Channel</t>
  </si>
  <si>
    <t>Quantity_Sold</t>
  </si>
  <si>
    <t>Cost_Price</t>
  </si>
  <si>
    <t>Selling_Price</t>
  </si>
  <si>
    <t>Discount_Percent</t>
  </si>
  <si>
    <t>Revenue</t>
  </si>
  <si>
    <t>Profit</t>
  </si>
  <si>
    <t>Rating</t>
  </si>
  <si>
    <t>ORD1121</t>
  </si>
  <si>
    <t>Jan 02 2025</t>
  </si>
  <si>
    <t>P012</t>
  </si>
  <si>
    <t>Sunscreen SPF50</t>
  </si>
  <si>
    <t>Protection</t>
  </si>
  <si>
    <t>GlowBeauty</t>
  </si>
  <si>
    <t>C232</t>
  </si>
  <si>
    <t>Male</t>
  </si>
  <si>
    <t>Teen</t>
  </si>
  <si>
    <t>Kenya</t>
  </si>
  <si>
    <t>Instagram</t>
  </si>
  <si>
    <t>ORD1223</t>
  </si>
  <si>
    <t>08/06/2024</t>
  </si>
  <si>
    <t>P010</t>
  </si>
  <si>
    <t>Hydrating Cream</t>
  </si>
  <si>
    <t>Moisturizer</t>
  </si>
  <si>
    <t>C413</t>
  </si>
  <si>
    <t>Young Adult</t>
  </si>
  <si>
    <t>WhatsApp</t>
  </si>
  <si>
    <t>ORD1222</t>
  </si>
  <si>
    <t>20/07/2024</t>
  </si>
  <si>
    <t>P008</t>
  </si>
  <si>
    <t xml:space="preserve"> Acne Cleanser </t>
  </si>
  <si>
    <t>Cleanser</t>
  </si>
  <si>
    <t>PureSkin</t>
  </si>
  <si>
    <t>C844</t>
  </si>
  <si>
    <t>Female</t>
  </si>
  <si>
    <t>Adult</t>
  </si>
  <si>
    <t>nigeria</t>
  </si>
  <si>
    <t>ORD1029</t>
  </si>
  <si>
    <t>2024-12-25</t>
  </si>
  <si>
    <t>P002</t>
  </si>
  <si>
    <t>vitamin c serum</t>
  </si>
  <si>
    <t>Serum</t>
  </si>
  <si>
    <t>C675</t>
  </si>
  <si>
    <t>NIGERIA</t>
  </si>
  <si>
    <t>Website</t>
  </si>
  <si>
    <t>ORD1039</t>
  </si>
  <si>
    <t>Apr 22 2024</t>
  </si>
  <si>
    <t>C156</t>
  </si>
  <si>
    <t>Ghana</t>
  </si>
  <si>
    <t>Retail</t>
  </si>
  <si>
    <t>ORD1015</t>
  </si>
  <si>
    <t>2024-12-29</t>
  </si>
  <si>
    <t>P014</t>
  </si>
  <si>
    <t>Toner</t>
  </si>
  <si>
    <t>Other</t>
  </si>
  <si>
    <t>C869</t>
  </si>
  <si>
    <t>ORD1142</t>
  </si>
  <si>
    <t>Jun 19 2024</t>
  </si>
  <si>
    <t>C348</t>
  </si>
  <si>
    <t>ORD1155</t>
  </si>
  <si>
    <t>08/03/2025</t>
  </si>
  <si>
    <t>P015</t>
  </si>
  <si>
    <t>Body Scrub</t>
  </si>
  <si>
    <t xml:space="preserve"> glowbeauty </t>
  </si>
  <si>
    <t>C999</t>
  </si>
  <si>
    <t>Nigera</t>
  </si>
  <si>
    <t>ORD1058</t>
  </si>
  <si>
    <t>P017</t>
  </si>
  <si>
    <t>Lip Balm</t>
  </si>
  <si>
    <t>C193</t>
  </si>
  <si>
    <t>ORD1201</t>
  </si>
  <si>
    <t>Dec 09 2024</t>
  </si>
  <si>
    <t>P001</t>
  </si>
  <si>
    <t>Vitamin C Serum</t>
  </si>
  <si>
    <t>C136</t>
  </si>
  <si>
    <t>ORD1091</t>
  </si>
  <si>
    <t>2025-03-24</t>
  </si>
  <si>
    <t>P011</t>
  </si>
  <si>
    <t>Night Cream</t>
  </si>
  <si>
    <t>C962</t>
  </si>
  <si>
    <t>ORD1064</t>
  </si>
  <si>
    <t>Mar 26 2024</t>
  </si>
  <si>
    <t>SkinLab</t>
  </si>
  <si>
    <t>C787</t>
  </si>
  <si>
    <t>ORD1062</t>
  </si>
  <si>
    <t>Apr 11 2024</t>
  </si>
  <si>
    <t>P004</t>
  </si>
  <si>
    <t>Niacinamide Serum</t>
  </si>
  <si>
    <t>DermaCare</t>
  </si>
  <si>
    <t>C210</t>
  </si>
  <si>
    <t>ORD1204</t>
  </si>
  <si>
    <t>Oct 04 2024</t>
  </si>
  <si>
    <t>C562</t>
  </si>
  <si>
    <t>Nigeria</t>
  </si>
  <si>
    <t>ORD1159</t>
  </si>
  <si>
    <t>18/08/2024</t>
  </si>
  <si>
    <t>P006</t>
  </si>
  <si>
    <t>Face Wash</t>
  </si>
  <si>
    <t>C341</t>
  </si>
  <si>
    <t>ORD1036</t>
  </si>
  <si>
    <t>14/03/2025</t>
  </si>
  <si>
    <t>C548</t>
  </si>
  <si>
    <t>ORD1209</t>
  </si>
  <si>
    <t>2025-02-22</t>
  </si>
  <si>
    <t>C917</t>
  </si>
  <si>
    <t>ORD1242</t>
  </si>
  <si>
    <t>28/05/2024</t>
  </si>
  <si>
    <t>P007</t>
  </si>
  <si>
    <t>Deep Clean Cleanser</t>
  </si>
  <si>
    <t>C779</t>
  </si>
  <si>
    <t>South Africa</t>
  </si>
  <si>
    <t>2024-01-25</t>
  </si>
  <si>
    <t>C661</t>
  </si>
  <si>
    <t>ORD1157</t>
  </si>
  <si>
    <t>05/08/2024</t>
  </si>
  <si>
    <t>C459</t>
  </si>
  <si>
    <t>ORD1003</t>
  </si>
  <si>
    <t>24/01/2025</t>
  </si>
  <si>
    <t>C396</t>
  </si>
  <si>
    <t>ORD1034</t>
  </si>
  <si>
    <t>Jan 21 2024</t>
  </si>
  <si>
    <t>P018</t>
  </si>
  <si>
    <t>Lip Scrub</t>
  </si>
  <si>
    <t>C773</t>
  </si>
  <si>
    <t>ORD1067</t>
  </si>
  <si>
    <t>Apr 29 2025</t>
  </si>
  <si>
    <t>C569</t>
  </si>
  <si>
    <t>10/10/2024</t>
  </si>
  <si>
    <t>C921</t>
  </si>
  <si>
    <t>ORD1085</t>
  </si>
  <si>
    <t>17/01/2024</t>
  </si>
  <si>
    <t>P005</t>
  </si>
  <si>
    <t>Retinol Serum</t>
  </si>
  <si>
    <t>C710</t>
  </si>
  <si>
    <t>ORD1143</t>
  </si>
  <si>
    <t>2024-05-22</t>
  </si>
  <si>
    <t>C500</t>
  </si>
  <si>
    <t>ORD1049</t>
  </si>
  <si>
    <t>2024-08-03</t>
  </si>
  <si>
    <t>P003</t>
  </si>
  <si>
    <t>Hyaluronic Acid Serum</t>
  </si>
  <si>
    <t>C933</t>
  </si>
  <si>
    <t>ORD1050</t>
  </si>
  <si>
    <t>2024-10-28</t>
  </si>
  <si>
    <t>C695</t>
  </si>
  <si>
    <t>ORD1021</t>
  </si>
  <si>
    <t>2024-08-02</t>
  </si>
  <si>
    <t>C455</t>
  </si>
  <si>
    <t>ORD1007</t>
  </si>
  <si>
    <t>23/09/2024</t>
  </si>
  <si>
    <t>C662</t>
  </si>
  <si>
    <t>ORD1232</t>
  </si>
  <si>
    <t>Nov 14 2024</t>
  </si>
  <si>
    <t>C247</t>
  </si>
  <si>
    <t>ORD1229</t>
  </si>
  <si>
    <t>May 06 2024</t>
  </si>
  <si>
    <t>C303</t>
  </si>
  <si>
    <t>ORD1205</t>
  </si>
  <si>
    <t>2024-12-08</t>
  </si>
  <si>
    <t>C405</t>
  </si>
  <si>
    <t>ORD1087</t>
  </si>
  <si>
    <t>2024-04-29</t>
  </si>
  <si>
    <t>C791</t>
  </si>
  <si>
    <t>ORD1070</t>
  </si>
  <si>
    <t>22/05/2025</t>
  </si>
  <si>
    <t>C305</t>
  </si>
  <si>
    <t>ORD1234</t>
  </si>
  <si>
    <t>07/03/2025</t>
  </si>
  <si>
    <t>C970</t>
  </si>
  <si>
    <t>2024-11-10</t>
  </si>
  <si>
    <t>C331</t>
  </si>
  <si>
    <t>ORD1128</t>
  </si>
  <si>
    <t>Feb 21 2024</t>
  </si>
  <si>
    <t>C766</t>
  </si>
  <si>
    <t>2024-03-24</t>
  </si>
  <si>
    <t>C491</t>
  </si>
  <si>
    <t>ORD1139</t>
  </si>
  <si>
    <t>2024-07-28</t>
  </si>
  <si>
    <t>C271</t>
  </si>
  <si>
    <t>ORD1110</t>
  </si>
  <si>
    <t>2024-04-15</t>
  </si>
  <si>
    <t>C386</t>
  </si>
  <si>
    <t>ORD1012</t>
  </si>
  <si>
    <t>Jan 30 2024</t>
  </si>
  <si>
    <t>C915</t>
  </si>
  <si>
    <t>ORD1225</t>
  </si>
  <si>
    <t>2024-12-17</t>
  </si>
  <si>
    <t>C876</t>
  </si>
  <si>
    <t>ORD1250</t>
  </si>
  <si>
    <t>05/04/2024</t>
  </si>
  <si>
    <t>C205</t>
  </si>
  <si>
    <t>Mar 17 2024</t>
  </si>
  <si>
    <t>C681</t>
  </si>
  <si>
    <t>ORD1083</t>
  </si>
  <si>
    <t>25/05/2025</t>
  </si>
  <si>
    <t>C504</t>
  </si>
  <si>
    <t>ORD1108</t>
  </si>
  <si>
    <t>05/05/2024</t>
  </si>
  <si>
    <t>C356</t>
  </si>
  <si>
    <t>ORD1037</t>
  </si>
  <si>
    <t>Sep 27 2024</t>
  </si>
  <si>
    <t>C448</t>
  </si>
  <si>
    <t>Jun 15 2025</t>
  </si>
  <si>
    <t>C272</t>
  </si>
  <si>
    <t>ORD1212</t>
  </si>
  <si>
    <t>Feb 04 2025</t>
  </si>
  <si>
    <t>P009</t>
  </si>
  <si>
    <t>Face Cream</t>
  </si>
  <si>
    <t>C427</t>
  </si>
  <si>
    <t>2024-03-19</t>
  </si>
  <si>
    <t>C222</t>
  </si>
  <si>
    <t>ORD1187</t>
  </si>
  <si>
    <t>2024-08-11</t>
  </si>
  <si>
    <t>C725</t>
  </si>
  <si>
    <t>ORD1141</t>
  </si>
  <si>
    <t>02/04/2025</t>
  </si>
  <si>
    <t>C890</t>
  </si>
  <si>
    <t>ORD1028</t>
  </si>
  <si>
    <t>2024-07-23</t>
  </si>
  <si>
    <t>C209</t>
  </si>
  <si>
    <t>ORD1153</t>
  </si>
  <si>
    <t>2024-11-17</t>
  </si>
  <si>
    <t>C542</t>
  </si>
  <si>
    <t>ORD1112</t>
  </si>
  <si>
    <t>10/07/2024</t>
  </si>
  <si>
    <t>C986</t>
  </si>
  <si>
    <t>ORD1161</t>
  </si>
  <si>
    <t>Aug 09 2024</t>
  </si>
  <si>
    <t>C793</t>
  </si>
  <si>
    <t>ORD1219</t>
  </si>
  <si>
    <t>16/04/2025</t>
  </si>
  <si>
    <t>P013</t>
  </si>
  <si>
    <t>Sunscreen SPF30</t>
  </si>
  <si>
    <t>C874</t>
  </si>
  <si>
    <t>ORD1094</t>
  </si>
  <si>
    <t>2024-03-30</t>
  </si>
  <si>
    <t>C111</t>
  </si>
  <si>
    <t>ORD1099</t>
  </si>
  <si>
    <t>2024-06-14</t>
  </si>
  <si>
    <t>C149</t>
  </si>
  <si>
    <t>ORD1179</t>
  </si>
  <si>
    <t>Mar 01 2025</t>
  </si>
  <si>
    <t>C908</t>
  </si>
  <si>
    <t>ORD1033</t>
  </si>
  <si>
    <t>2025-05-24</t>
  </si>
  <si>
    <t>C487</t>
  </si>
  <si>
    <t>ORD1107</t>
  </si>
  <si>
    <t>2024-12-16</t>
  </si>
  <si>
    <t>C682</t>
  </si>
  <si>
    <t>ORD1073</t>
  </si>
  <si>
    <t>2024-07-04</t>
  </si>
  <si>
    <t>C649</t>
  </si>
  <si>
    <t>May 09 2025</t>
  </si>
  <si>
    <t>C403</t>
  </si>
  <si>
    <t>21/06/2024</t>
  </si>
  <si>
    <t>ORD1249</t>
  </si>
  <si>
    <t>Jul 04 2024</t>
  </si>
  <si>
    <t>C350</t>
  </si>
  <si>
    <t>ORD1088</t>
  </si>
  <si>
    <t>2024-09-11</t>
  </si>
  <si>
    <t>ORD1237</t>
  </si>
  <si>
    <t>2024-05-07</t>
  </si>
  <si>
    <t>C711</t>
  </si>
  <si>
    <t>ORD1230</t>
  </si>
  <si>
    <t>Oct 13 2024</t>
  </si>
  <si>
    <t>C359</t>
  </si>
  <si>
    <t>ORD1041</t>
  </si>
  <si>
    <t>2025-03-09</t>
  </si>
  <si>
    <t>P016</t>
  </si>
  <si>
    <t>Face Mask</t>
  </si>
  <si>
    <t>C760</t>
  </si>
  <si>
    <t>ORD1090</t>
  </si>
  <si>
    <t>2025-04-18</t>
  </si>
  <si>
    <t>C422</t>
  </si>
  <si>
    <t>C553</t>
  </si>
  <si>
    <t>ORD1197</t>
  </si>
  <si>
    <t>Jun 08 2024</t>
  </si>
  <si>
    <t>C158</t>
  </si>
  <si>
    <t>ORD1173</t>
  </si>
  <si>
    <t>02/06/2024</t>
  </si>
  <si>
    <t>C391</t>
  </si>
  <si>
    <t>2024-05-06</t>
  </si>
  <si>
    <t>C242</t>
  </si>
  <si>
    <t>ORD1059</t>
  </si>
  <si>
    <t>Feb 08 2025</t>
  </si>
  <si>
    <t>C127</t>
  </si>
  <si>
    <t>ORD1240</t>
  </si>
  <si>
    <t>09/04/2024</t>
  </si>
  <si>
    <t>C753</t>
  </si>
  <si>
    <t>2024-05-04</t>
  </si>
  <si>
    <t>C635</t>
  </si>
  <si>
    <t>ORD1224</t>
  </si>
  <si>
    <t>29/03/2025</t>
  </si>
  <si>
    <t>C476</t>
  </si>
  <si>
    <t>Jan 13 2024</t>
  </si>
  <si>
    <t>C930</t>
  </si>
  <si>
    <t>19/11/2024</t>
  </si>
  <si>
    <t>C762</t>
  </si>
  <si>
    <t>C561</t>
  </si>
  <si>
    <t>ORD1129</t>
  </si>
  <si>
    <t>Mar 01 2024</t>
  </si>
  <si>
    <t>C523</t>
  </si>
  <si>
    <t>ORD1220</t>
  </si>
  <si>
    <t>Jul 11 2024</t>
  </si>
  <si>
    <t>ORD1116</t>
  </si>
  <si>
    <t>27/01/2024</t>
  </si>
  <si>
    <t>C540</t>
  </si>
  <si>
    <t>ORD1043</t>
  </si>
  <si>
    <t>May 14 2025</t>
  </si>
  <si>
    <t>C802</t>
  </si>
  <si>
    <t>ORD1193</t>
  </si>
  <si>
    <t>07/08/2024</t>
  </si>
  <si>
    <t>C322</t>
  </si>
  <si>
    <t>06/11/2024</t>
  </si>
  <si>
    <t>C709</t>
  </si>
  <si>
    <t>ORD1023</t>
  </si>
  <si>
    <t>2025-04-15</t>
  </si>
  <si>
    <t>ORD1208</t>
  </si>
  <si>
    <t>Oct 03 2024</t>
  </si>
  <si>
    <t>C769</t>
  </si>
  <si>
    <t>ORD1192</t>
  </si>
  <si>
    <t>13/05/2025</t>
  </si>
  <si>
    <t>C644</t>
  </si>
  <si>
    <t>ORD1040</t>
  </si>
  <si>
    <t>2024-09-27</t>
  </si>
  <si>
    <t>C546</t>
  </si>
  <si>
    <t>ORD1233</t>
  </si>
  <si>
    <t>14/04/2024</t>
  </si>
  <si>
    <t>C984</t>
  </si>
  <si>
    <t>2024-07-03</t>
  </si>
  <si>
    <t>C312</t>
  </si>
  <si>
    <t>ORD1109</t>
  </si>
  <si>
    <t>2024-06-30</t>
  </si>
  <si>
    <t>C184</t>
  </si>
  <si>
    <t>ORD1004</t>
  </si>
  <si>
    <t>2024-06-26</t>
  </si>
  <si>
    <t>C754</t>
  </si>
  <si>
    <t>07/06/2025</t>
  </si>
  <si>
    <t>C602</t>
  </si>
  <si>
    <t>ORD1207</t>
  </si>
  <si>
    <t>2024-11-03</t>
  </si>
  <si>
    <t>C988</t>
  </si>
  <si>
    <t>ORD1080</t>
  </si>
  <si>
    <t>12/11/2024</t>
  </si>
  <si>
    <t>C258</t>
  </si>
  <si>
    <t>Jun 30 2024</t>
  </si>
  <si>
    <t>C625</t>
  </si>
  <si>
    <t>2024-02-21</t>
  </si>
  <si>
    <t>C498</t>
  </si>
  <si>
    <t>ORD1009</t>
  </si>
  <si>
    <t>30/06/2024</t>
  </si>
  <si>
    <t>C821</t>
  </si>
  <si>
    <t>ORD1178</t>
  </si>
  <si>
    <t>13/12/2024</t>
  </si>
  <si>
    <t>ORD1164</t>
  </si>
  <si>
    <t>2024-07-12</t>
  </si>
  <si>
    <t>Apr 01 2024</t>
  </si>
  <si>
    <t>ORD1045</t>
  </si>
  <si>
    <t>20/09/2024</t>
  </si>
  <si>
    <t>C470</t>
  </si>
  <si>
    <t>22/01/2024</t>
  </si>
  <si>
    <t>C600</t>
  </si>
  <si>
    <t>ORD1014</t>
  </si>
  <si>
    <t>2024-05-21</t>
  </si>
  <si>
    <t>C586</t>
  </si>
  <si>
    <t>ORD1038</t>
  </si>
  <si>
    <t>Apr 25 2025</t>
  </si>
  <si>
    <t>C244</t>
  </si>
  <si>
    <t>ORD1025</t>
  </si>
  <si>
    <t>Aug 13 2024</t>
  </si>
  <si>
    <t>C604</t>
  </si>
  <si>
    <t>C654</t>
  </si>
  <si>
    <t>ORD1176</t>
  </si>
  <si>
    <t>Jun 13 2024</t>
  </si>
  <si>
    <t>C385</t>
  </si>
  <si>
    <t>21/09/2024</t>
  </si>
  <si>
    <t>C810</t>
  </si>
  <si>
    <t>C535</t>
  </si>
  <si>
    <t>Apr 01 2025</t>
  </si>
  <si>
    <t>C273</t>
  </si>
  <si>
    <t>ORD1016</t>
  </si>
  <si>
    <t>2025-04-17</t>
  </si>
  <si>
    <t>C221</t>
  </si>
  <si>
    <t>ORD1101</t>
  </si>
  <si>
    <t>Apr 15 2024</t>
  </si>
  <si>
    <t>C191</t>
  </si>
  <si>
    <t>May 17 2024</t>
  </si>
  <si>
    <t>C410</t>
  </si>
  <si>
    <t>22/03/2024</t>
  </si>
  <si>
    <t>24/05/2024</t>
  </si>
  <si>
    <t>C153</t>
  </si>
  <si>
    <t>12/05/2024</t>
  </si>
  <si>
    <t>C203</t>
  </si>
  <si>
    <t>2025-04-26</t>
  </si>
  <si>
    <t>Mar 19 2025</t>
  </si>
  <si>
    <t>Apr 18 2025</t>
  </si>
  <si>
    <t>C108</t>
  </si>
  <si>
    <t>2025-02-05</t>
  </si>
  <si>
    <t>C950</t>
  </si>
  <si>
    <t>ORD1198</t>
  </si>
  <si>
    <t>Mar 05 2024</t>
  </si>
  <si>
    <t>C777</t>
  </si>
  <si>
    <t>ORD1158</t>
  </si>
  <si>
    <t>2024-09-16</t>
  </si>
  <si>
    <t>02/03/2024</t>
  </si>
  <si>
    <t>C366</t>
  </si>
  <si>
    <t>ORD1227</t>
  </si>
  <si>
    <t>21/04/2024</t>
  </si>
  <si>
    <t>C653</t>
  </si>
  <si>
    <t>ORD1111</t>
  </si>
  <si>
    <t>15/05/2025</t>
  </si>
  <si>
    <t>C550</t>
  </si>
  <si>
    <t>2025-02-15</t>
  </si>
  <si>
    <t>C531</t>
  </si>
  <si>
    <t>ORD1132</t>
  </si>
  <si>
    <t>18/02/2025</t>
  </si>
  <si>
    <t>C240</t>
  </si>
  <si>
    <t>ORD1130</t>
  </si>
  <si>
    <t>Apr 10 2025</t>
  </si>
  <si>
    <t>C478</t>
  </si>
  <si>
    <t>C989</t>
  </si>
  <si>
    <t>ORD1183</t>
  </si>
  <si>
    <t>01/10/2024</t>
  </si>
  <si>
    <t>C335</t>
  </si>
  <si>
    <t>ORD1117</t>
  </si>
  <si>
    <t>Apr 24 2025</t>
  </si>
  <si>
    <t>C234</t>
  </si>
  <si>
    <t>Mar 25 2025</t>
  </si>
  <si>
    <t>C902</t>
  </si>
  <si>
    <t>ORD1182</t>
  </si>
  <si>
    <t>2024-12-12</t>
  </si>
  <si>
    <t>C875</t>
  </si>
  <si>
    <t>Jun 25 2024</t>
  </si>
  <si>
    <t>C891</t>
  </si>
  <si>
    <t>ORD1102</t>
  </si>
  <si>
    <t>08/07/2024</t>
  </si>
  <si>
    <t>C770</t>
  </si>
  <si>
    <t>ORD1022</t>
  </si>
  <si>
    <t>2024-01-15</t>
  </si>
  <si>
    <t>C486</t>
  </si>
  <si>
    <t>ORD1247</t>
  </si>
  <si>
    <t>30/05/2024</t>
  </si>
  <si>
    <t>C896</t>
  </si>
  <si>
    <t>05/03/2024</t>
  </si>
  <si>
    <t>C513</t>
  </si>
  <si>
    <t>25/02/2025</t>
  </si>
  <si>
    <t>C539</t>
  </si>
  <si>
    <t>ORD1057</t>
  </si>
  <si>
    <t>2024-02-16</t>
  </si>
  <si>
    <t>C551</t>
  </si>
  <si>
    <t>ORD1191</t>
  </si>
  <si>
    <t>2025-02-07</t>
  </si>
  <si>
    <t>C714</t>
  </si>
  <si>
    <t>ORD1113</t>
  </si>
  <si>
    <t>16/12/2024</t>
  </si>
  <si>
    <t>2025-03-10</t>
  </si>
  <si>
    <t>C763</t>
  </si>
  <si>
    <t>21/01/2024</t>
  </si>
  <si>
    <t>C370</t>
  </si>
  <si>
    <t>ORD1030</t>
  </si>
  <si>
    <t>C595</t>
  </si>
  <si>
    <t>ORD1218</t>
  </si>
  <si>
    <t>03/06/2024</t>
  </si>
  <si>
    <t>C961</t>
  </si>
  <si>
    <t>ORD1098</t>
  </si>
  <si>
    <t>Jul 24 2024</t>
  </si>
  <si>
    <t>C638</t>
  </si>
  <si>
    <t>ORD1056</t>
  </si>
  <si>
    <t>24/04/2024</t>
  </si>
  <si>
    <t>C980</t>
  </si>
  <si>
    <t>Jul 16 2024</t>
  </si>
  <si>
    <t>C985</t>
  </si>
  <si>
    <t>Dec 31 2024</t>
  </si>
  <si>
    <t>ORD1165</t>
  </si>
  <si>
    <t>10/02/2025</t>
  </si>
  <si>
    <t>C176</t>
  </si>
  <si>
    <t>ORD1131</t>
  </si>
  <si>
    <t>Jun 29 2024</t>
  </si>
  <si>
    <t>C224</t>
  </si>
  <si>
    <t>2024-06-09</t>
  </si>
  <si>
    <t>C737</t>
  </si>
  <si>
    <t>ORD1052</t>
  </si>
  <si>
    <t>17/10/2024</t>
  </si>
  <si>
    <t>C245</t>
  </si>
  <si>
    <t>04/01/2024</t>
  </si>
  <si>
    <t>C376</t>
  </si>
  <si>
    <t>ORD1120</t>
  </si>
  <si>
    <t>2024-10-30</t>
  </si>
  <si>
    <t>C269</t>
  </si>
  <si>
    <t>ORD1172</t>
  </si>
  <si>
    <t>28/03/2025</t>
  </si>
  <si>
    <t>C378</t>
  </si>
  <si>
    <t>ORD1055</t>
  </si>
  <si>
    <t>Aug 24 2024</t>
  </si>
  <si>
    <t>C345</t>
  </si>
  <si>
    <t>2025-05-02</t>
  </si>
  <si>
    <t>2024-02-11</t>
  </si>
  <si>
    <t>C899</t>
  </si>
  <si>
    <t>ORD1200</t>
  </si>
  <si>
    <t>14/06/2024</t>
  </si>
  <si>
    <t>C849</t>
  </si>
  <si>
    <t>2024-01-05</t>
  </si>
  <si>
    <t>C937</t>
  </si>
  <si>
    <t>20/02/2024</t>
  </si>
  <si>
    <t>ORD1135</t>
  </si>
  <si>
    <t>Apr 02 2024</t>
  </si>
  <si>
    <t>C741</t>
  </si>
  <si>
    <t>2025-05-10</t>
  </si>
  <si>
    <t>C174</t>
  </si>
  <si>
    <t>ORD1151</t>
  </si>
  <si>
    <t>26/06/2024</t>
  </si>
  <si>
    <t>C978</t>
  </si>
  <si>
    <t>2024-11-16</t>
  </si>
  <si>
    <t>C624</t>
  </si>
  <si>
    <t>2024-03-27</t>
  </si>
  <si>
    <t>C771</t>
  </si>
  <si>
    <t>ORD1046</t>
  </si>
  <si>
    <t>27/10/2024</t>
  </si>
  <si>
    <t>ORD1081</t>
  </si>
  <si>
    <t>2024-01-19</t>
  </si>
  <si>
    <t>C666</t>
  </si>
  <si>
    <t>ORD1147</t>
  </si>
  <si>
    <t>29/09/2024</t>
  </si>
  <si>
    <t>C642</t>
  </si>
  <si>
    <t>ORD1156</t>
  </si>
  <si>
    <t>2024-03-04</t>
  </si>
  <si>
    <t>C912</t>
  </si>
  <si>
    <t>ORD1152</t>
  </si>
  <si>
    <t>Jan 10 2025</t>
  </si>
  <si>
    <t>ORD1106</t>
  </si>
  <si>
    <t>13/09/2024</t>
  </si>
  <si>
    <t>C800</t>
  </si>
  <si>
    <t>ORD1095</t>
  </si>
  <si>
    <t>13/10/2024</t>
  </si>
  <si>
    <t>C920</t>
  </si>
  <si>
    <t>24/12/2024</t>
  </si>
  <si>
    <t>C238</t>
  </si>
  <si>
    <t>Aug 25 2024</t>
  </si>
  <si>
    <t>C582</t>
  </si>
  <si>
    <t>Aug 01 2024</t>
  </si>
  <si>
    <t>C764</t>
  </si>
  <si>
    <t>ORD1196</t>
  </si>
  <si>
    <t>2025-06-07</t>
  </si>
  <si>
    <t>C909</t>
  </si>
  <si>
    <t>ORD1118</t>
  </si>
  <si>
    <t>2025-04-30</t>
  </si>
  <si>
    <t>C352</t>
  </si>
  <si>
    <t>2024-04-05</t>
  </si>
  <si>
    <t>C398</t>
  </si>
  <si>
    <t>ORD1211</t>
  </si>
  <si>
    <t>2024-03-06</t>
  </si>
  <si>
    <t>C264</t>
  </si>
  <si>
    <t>ORD1216</t>
  </si>
  <si>
    <t>2025-06-08</t>
  </si>
  <si>
    <t>Sep 12 2024</t>
  </si>
  <si>
    <t>C742</t>
  </si>
  <si>
    <t>C583</t>
  </si>
  <si>
    <t>ORD1026</t>
  </si>
  <si>
    <t>Jan 11 2024</t>
  </si>
  <si>
    <t>C161</t>
  </si>
  <si>
    <t>ORD1065</t>
  </si>
  <si>
    <t>07/01/2025</t>
  </si>
  <si>
    <t>C121</t>
  </si>
  <si>
    <t>2024-06-27</t>
  </si>
  <si>
    <t>C180</t>
  </si>
  <si>
    <t>ORD1163</t>
  </si>
  <si>
    <t>C761</t>
  </si>
  <si>
    <t>Jan 22 2025</t>
  </si>
  <si>
    <t>C262</t>
  </si>
  <si>
    <t>ORD1051</t>
  </si>
  <si>
    <t>2025-04-02</t>
  </si>
  <si>
    <t>C256</t>
  </si>
  <si>
    <t>21/08/2024</t>
  </si>
  <si>
    <t>Jun 20 2024</t>
  </si>
  <si>
    <t>C837</t>
  </si>
  <si>
    <t>C355</t>
  </si>
  <si>
    <t>ORD1008</t>
  </si>
  <si>
    <t>2025-02-20</t>
  </si>
  <si>
    <t>05/09/2024</t>
  </si>
  <si>
    <t>ORD1001</t>
  </si>
  <si>
    <t>May 12 2025</t>
  </si>
  <si>
    <t>C458</t>
  </si>
  <si>
    <t>16/03/2024</t>
  </si>
  <si>
    <t>C704</t>
  </si>
  <si>
    <t>22/03/2025</t>
  </si>
  <si>
    <t>C382</t>
  </si>
  <si>
    <t>ORD1122</t>
  </si>
  <si>
    <t>Aug 18 2024</t>
  </si>
  <si>
    <t>C354</t>
  </si>
  <si>
    <t>2024-02-05</t>
  </si>
  <si>
    <t>C117</t>
  </si>
  <si>
    <t>01/12/2024</t>
  </si>
  <si>
    <t>C226</t>
  </si>
  <si>
    <t>ORD1160</t>
  </si>
  <si>
    <t>2025-03-14</t>
  </si>
  <si>
    <t>C947</t>
  </si>
  <si>
    <t>ORD1138</t>
  </si>
  <si>
    <t>2024-09-28</t>
  </si>
  <si>
    <t>28/01/2025</t>
  </si>
  <si>
    <t>C284</t>
  </si>
  <si>
    <t>C935</t>
  </si>
  <si>
    <t>Feb 09 2024</t>
  </si>
  <si>
    <t>C868</t>
  </si>
  <si>
    <t>Apr 22 2025</t>
  </si>
  <si>
    <t>C454</t>
  </si>
  <si>
    <t>ORD1199</t>
  </si>
  <si>
    <t>Mar 29 2025</t>
  </si>
  <si>
    <t>C197</t>
  </si>
  <si>
    <t>Jun 24 2025</t>
  </si>
  <si>
    <t>2024-11-08</t>
  </si>
  <si>
    <t>C445</t>
  </si>
  <si>
    <t>ORD1089</t>
  </si>
  <si>
    <t>Apr 20 2024</t>
  </si>
  <si>
    <t>C275</t>
  </si>
  <si>
    <t>2024-03-28</t>
  </si>
  <si>
    <t>C143</t>
  </si>
  <si>
    <t>Jun 11 2025</t>
  </si>
  <si>
    <t>Apr 21 2024</t>
  </si>
  <si>
    <t>18/04/2025</t>
  </si>
  <si>
    <t>2025-05-26</t>
  </si>
  <si>
    <t>C982</t>
  </si>
  <si>
    <t>05/07/2024</t>
  </si>
  <si>
    <t>Apr 14 2024</t>
  </si>
  <si>
    <t>2025-05-15</t>
  </si>
  <si>
    <t>C499</t>
  </si>
  <si>
    <t>2025-06-06</t>
  </si>
  <si>
    <t>C297</t>
  </si>
  <si>
    <t>10/01/2025</t>
  </si>
  <si>
    <t>C520</t>
  </si>
  <si>
    <t>2024-03-08</t>
  </si>
  <si>
    <t>C573</t>
  </si>
  <si>
    <t>Mar 30 2024</t>
  </si>
  <si>
    <t>2025-06-12</t>
  </si>
  <si>
    <t>C594</t>
  </si>
  <si>
    <t>Jul 27 2024</t>
  </si>
  <si>
    <t>C526</t>
  </si>
  <si>
    <t>ORD1011</t>
  </si>
  <si>
    <t>C377</t>
  </si>
  <si>
    <t>ORD1210</t>
  </si>
  <si>
    <t>22/11/2024</t>
  </si>
  <si>
    <t>C142</t>
  </si>
  <si>
    <t>ORD1060</t>
  </si>
  <si>
    <t>2024-01-14</t>
  </si>
  <si>
    <t>C736</t>
  </si>
  <si>
    <t>ORD1005</t>
  </si>
  <si>
    <t>26/01/2024</t>
  </si>
  <si>
    <t>C298</t>
  </si>
  <si>
    <t>ORD1077</t>
  </si>
  <si>
    <t>Mar 29 2024</t>
  </si>
  <si>
    <t>C471</t>
  </si>
  <si>
    <t>Jun 05 2025</t>
  </si>
  <si>
    <t>ORD1097</t>
  </si>
  <si>
    <t>2024-01-30</t>
  </si>
  <si>
    <t>C776</t>
  </si>
  <si>
    <t>2024-12-03</t>
  </si>
  <si>
    <t>C816</t>
  </si>
  <si>
    <t>ORD1194</t>
  </si>
  <si>
    <t>10/06/2025</t>
  </si>
  <si>
    <t>C700</t>
  </si>
  <si>
    <t>2025-05-23</t>
  </si>
  <si>
    <t>C628</t>
  </si>
  <si>
    <t>ORD1185</t>
  </si>
  <si>
    <t>10/04/2024</t>
  </si>
  <si>
    <t>C593</t>
  </si>
  <si>
    <t>May 08 2025</t>
  </si>
  <si>
    <t>ORD1020</t>
  </si>
  <si>
    <t>Nov 26 2024</t>
  </si>
  <si>
    <t>C228</t>
  </si>
  <si>
    <t>ORD1177</t>
  </si>
  <si>
    <t>Jan 25 2024</t>
  </si>
  <si>
    <t>May 25 2025</t>
  </si>
  <si>
    <t>C795</t>
  </si>
  <si>
    <t>ORD1146</t>
  </si>
  <si>
    <t>22/01/2025</t>
  </si>
  <si>
    <t>C432</t>
  </si>
  <si>
    <t>C472</t>
  </si>
  <si>
    <t>15/11/2024</t>
  </si>
  <si>
    <t>C319</t>
  </si>
  <si>
    <t>ORD1235</t>
  </si>
  <si>
    <t>2025-01-31</t>
  </si>
  <si>
    <t>C252</t>
  </si>
  <si>
    <t>2024-07-19</t>
  </si>
  <si>
    <t>11/02/2025</t>
  </si>
  <si>
    <t>C956</t>
  </si>
  <si>
    <t>26/09/2024</t>
  </si>
  <si>
    <t>Nov 02 2024</t>
  </si>
  <si>
    <t>C185</t>
  </si>
  <si>
    <t>30/01/2025</t>
  </si>
  <si>
    <t>C251</t>
  </si>
  <si>
    <t>Feb 05 2024</t>
  </si>
  <si>
    <t>ORD1244</t>
  </si>
  <si>
    <t>C778</t>
  </si>
  <si>
    <t>ORD1047</t>
  </si>
  <si>
    <t>Jun 07 2024</t>
  </si>
  <si>
    <t>C820</t>
  </si>
  <si>
    <t>Apr 09 2025</t>
  </si>
  <si>
    <t>C281</t>
  </si>
  <si>
    <t>ORD1226</t>
  </si>
  <si>
    <t>2024-04-27</t>
  </si>
  <si>
    <t>C172</t>
  </si>
  <si>
    <t>ORD1150</t>
  </si>
  <si>
    <t>10/02/2024</t>
  </si>
  <si>
    <t>C983</t>
  </si>
  <si>
    <t>28/06/2024</t>
  </si>
  <si>
    <t>C885</t>
  </si>
  <si>
    <t>ORD1241</t>
  </si>
  <si>
    <t>17/09/2024</t>
  </si>
  <si>
    <t>ORD1168</t>
  </si>
  <si>
    <t>07/01/2024</t>
  </si>
  <si>
    <t>C173</t>
  </si>
  <si>
    <t>ORD1105</t>
  </si>
  <si>
    <t>31/08/2024</t>
  </si>
  <si>
    <t>C358</t>
  </si>
  <si>
    <t>17/04/2024</t>
  </si>
  <si>
    <t>C349</t>
  </si>
  <si>
    <t>03/11/2024</t>
  </si>
  <si>
    <t>Sep 08 2024</t>
  </si>
  <si>
    <t>C974</t>
  </si>
  <si>
    <t>ORD1215</t>
  </si>
  <si>
    <t>12/07/2024</t>
  </si>
  <si>
    <t>C304</t>
  </si>
  <si>
    <t>ORD1217</t>
  </si>
  <si>
    <t>Feb 18 2025</t>
  </si>
  <si>
    <t>C527</t>
  </si>
  <si>
    <t>May 04 2024</t>
  </si>
  <si>
    <t>C623</t>
  </si>
  <si>
    <t>C693</t>
  </si>
  <si>
    <t>2024-07-06</t>
  </si>
  <si>
    <t>C360</t>
  </si>
  <si>
    <t>C601</t>
  </si>
  <si>
    <t>19/05/2025</t>
  </si>
  <si>
    <t>C671</t>
  </si>
  <si>
    <t>ORD1189</t>
  </si>
  <si>
    <t>2025-01-27</t>
  </si>
  <si>
    <t>2025-05-09</t>
  </si>
  <si>
    <t>C431</t>
  </si>
  <si>
    <t>06/03/2024</t>
  </si>
  <si>
    <t>C744</t>
  </si>
  <si>
    <t>C485</t>
  </si>
  <si>
    <t>31/01/2025</t>
  </si>
  <si>
    <t>C541</t>
  </si>
  <si>
    <t>2024-11-24</t>
  </si>
  <si>
    <t>ORD1167</t>
  </si>
  <si>
    <t>23/11/2024</t>
  </si>
  <si>
    <t>20/12/2024</t>
  </si>
  <si>
    <t>ORD1166</t>
  </si>
  <si>
    <t>May 12 2024</t>
  </si>
  <si>
    <t>14/07/2024</t>
  </si>
  <si>
    <t>C481</t>
  </si>
  <si>
    <t>ORD1231</t>
  </si>
  <si>
    <t>C329</t>
  </si>
  <si>
    <t>ORD1248</t>
  </si>
  <si>
    <t>May 17 2025</t>
  </si>
  <si>
    <t>ORD1019</t>
  </si>
  <si>
    <t>2024-04-18</t>
  </si>
  <si>
    <t>ORD1024</t>
  </si>
  <si>
    <t>2024-10-12</t>
  </si>
  <si>
    <t>C870</t>
  </si>
  <si>
    <t>ORD1114</t>
  </si>
  <si>
    <t>26/04/2024</t>
  </si>
  <si>
    <t>C227</t>
  </si>
  <si>
    <t>Jul 01 2024</t>
  </si>
  <si>
    <t>C616</t>
  </si>
  <si>
    <t>2024-03-18</t>
  </si>
  <si>
    <t>C279</t>
  </si>
  <si>
    <t>C524</t>
  </si>
  <si>
    <t>ORD1239</t>
  </si>
  <si>
    <t>2025-01-04</t>
  </si>
  <si>
    <t>C629</t>
  </si>
  <si>
    <t>16/09/2024</t>
  </si>
  <si>
    <t>C866</t>
  </si>
  <si>
    <t>2025-03-07</t>
  </si>
  <si>
    <t>C220</t>
  </si>
  <si>
    <t>Jun 11 2024</t>
  </si>
  <si>
    <t>C901</t>
  </si>
  <si>
    <t>ORD1124</t>
  </si>
  <si>
    <t>Mar 21 2025</t>
  </si>
  <si>
    <t>2024-07-11</t>
  </si>
  <si>
    <t>C131</t>
  </si>
  <si>
    <t>Dec 10 2024</t>
  </si>
  <si>
    <t>C549</t>
  </si>
  <si>
    <t>30/01/2024</t>
  </si>
  <si>
    <t>C936</t>
  </si>
  <si>
    <t>May 28 2024</t>
  </si>
  <si>
    <t>C280</t>
  </si>
  <si>
    <t>ORD1134</t>
  </si>
  <si>
    <t>2025-05-01</t>
  </si>
  <si>
    <t>C217</t>
  </si>
  <si>
    <t>Jan 14 2025</t>
  </si>
  <si>
    <t>C321</t>
  </si>
  <si>
    <t>ORD1053</t>
  </si>
  <si>
    <t>Jun 04 2025</t>
  </si>
  <si>
    <t>C812</t>
  </si>
  <si>
    <t>ORD1093</t>
  </si>
  <si>
    <t>ORD1148</t>
  </si>
  <si>
    <t>03/05/2025</t>
  </si>
  <si>
    <t>C813</t>
  </si>
  <si>
    <t>Oct 31 2024</t>
  </si>
  <si>
    <t>C229</t>
  </si>
  <si>
    <t>2024-12-02</t>
  </si>
  <si>
    <t>C747</t>
  </si>
  <si>
    <t>ORD1086</t>
  </si>
  <si>
    <t>20/04/2024</t>
  </si>
  <si>
    <t>C751</t>
  </si>
  <si>
    <t>2025-03-15</t>
  </si>
  <si>
    <t>23/08/2024</t>
  </si>
  <si>
    <t>C139</t>
  </si>
  <si>
    <t>C333</t>
  </si>
  <si>
    <t>10/06/2024</t>
  </si>
  <si>
    <t>C977</t>
  </si>
  <si>
    <t>C656</t>
  </si>
  <si>
    <t>ORD1104</t>
  </si>
  <si>
    <t>Sep 26 2024</t>
  </si>
  <si>
    <t>ORD1180</t>
  </si>
  <si>
    <t>2024-08-31</t>
  </si>
  <si>
    <t>C824</t>
  </si>
  <si>
    <t>05/06/2024</t>
  </si>
  <si>
    <t>ORD1221</t>
  </si>
  <si>
    <t>2024-02-26</t>
  </si>
  <si>
    <t>C732</t>
  </si>
  <si>
    <t>C925</t>
  </si>
  <si>
    <t>2025-06-01</t>
  </si>
  <si>
    <t>C809</t>
  </si>
  <si>
    <t>2024-10-24</t>
  </si>
  <si>
    <t>C239</t>
  </si>
  <si>
    <t>ORD1006</t>
  </si>
  <si>
    <t>C215</t>
  </si>
  <si>
    <t>02/01/2024</t>
  </si>
  <si>
    <t>C516</t>
  </si>
  <si>
    <t>15/12/2024</t>
  </si>
  <si>
    <t>C518</t>
  </si>
  <si>
    <t>Jan 28 2024</t>
  </si>
  <si>
    <t>ORD1031</t>
  </si>
  <si>
    <t>2024-07-17</t>
  </si>
  <si>
    <t>C182</t>
  </si>
  <si>
    <t>ORD1195</t>
  </si>
  <si>
    <t>2024-09-19</t>
  </si>
  <si>
    <t>2024-02-15</t>
  </si>
  <si>
    <t>C873</t>
  </si>
  <si>
    <t>Nov 22 2024</t>
  </si>
  <si>
    <t>C163</t>
  </si>
  <si>
    <t>Jan 31 2025</t>
  </si>
  <si>
    <t>C555</t>
  </si>
  <si>
    <t>Apr 09 2024</t>
  </si>
  <si>
    <t>C423</t>
  </si>
  <si>
    <t>12/08/2024</t>
  </si>
  <si>
    <t>C532</t>
  </si>
  <si>
    <t>Jul 03 2024</t>
  </si>
  <si>
    <t>C559</t>
  </si>
  <si>
    <t>03/10/2024</t>
  </si>
  <si>
    <t>C507</t>
  </si>
  <si>
    <t>ORD1084</t>
  </si>
  <si>
    <t>2024-05-14</t>
  </si>
  <si>
    <t>ORD1137</t>
  </si>
  <si>
    <t>14/01/2024</t>
  </si>
  <si>
    <t>C846</t>
  </si>
  <si>
    <t>C160</t>
  </si>
  <si>
    <t>2024-06-12</t>
  </si>
  <si>
    <t>C274</t>
  </si>
  <si>
    <t>ORD1119</t>
  </si>
  <si>
    <t>16/02/2024</t>
  </si>
  <si>
    <t>C533</t>
  </si>
  <si>
    <t>08/05/2025</t>
  </si>
  <si>
    <t>20/10/2024</t>
  </si>
  <si>
    <t>C506</t>
  </si>
  <si>
    <t>ORD1066</t>
  </si>
  <si>
    <t>24/02/2025</t>
  </si>
  <si>
    <t>2024-03-03</t>
  </si>
  <si>
    <t>C308</t>
  </si>
  <si>
    <t>2024-12-14</t>
  </si>
  <si>
    <t>C916</t>
  </si>
  <si>
    <t>29/05/2025</t>
  </si>
  <si>
    <t>C731</t>
  </si>
  <si>
    <t>2025-03-06</t>
  </si>
  <si>
    <t>2024-10-09</t>
  </si>
  <si>
    <t>C219</t>
  </si>
  <si>
    <t>ORD1063</t>
  </si>
  <si>
    <t>Jun 14 2025</t>
  </si>
  <si>
    <t>C707</t>
  </si>
  <si>
    <t>Apr 04 2024</t>
  </si>
  <si>
    <t>ORD1075</t>
  </si>
  <si>
    <t>2025-06-18</t>
  </si>
  <si>
    <t>C307</t>
  </si>
  <si>
    <t>13/03/2024</t>
  </si>
  <si>
    <t>C888</t>
  </si>
  <si>
    <t>Jan 29 2024</t>
  </si>
  <si>
    <t>C905</t>
  </si>
  <si>
    <t>C727</t>
  </si>
  <si>
    <t>ORD1010</t>
  </si>
  <si>
    <t>24/04/2025</t>
  </si>
  <si>
    <t>C743</t>
  </si>
  <si>
    <t>Apr 06 2024</t>
  </si>
  <si>
    <t>Apr 05 2024</t>
  </si>
  <si>
    <t>C927</t>
  </si>
  <si>
    <t>2024-08-12</t>
  </si>
  <si>
    <t>C880</t>
  </si>
  <si>
    <t>2024-06-17</t>
  </si>
  <si>
    <t>C408</t>
  </si>
  <si>
    <t>ORD1202</t>
  </si>
  <si>
    <t>11/05/2025</t>
  </si>
  <si>
    <t>C102</t>
  </si>
  <si>
    <t>ORD1035</t>
  </si>
  <si>
    <t>2024-02-10</t>
  </si>
  <si>
    <t>19/07/2024</t>
  </si>
  <si>
    <t>C411</t>
  </si>
  <si>
    <t>24/08/2024</t>
  </si>
  <si>
    <t>C374</t>
  </si>
  <si>
    <t>Jan 19 2025</t>
  </si>
  <si>
    <t>C834</t>
  </si>
  <si>
    <t>2024-06-18</t>
  </si>
  <si>
    <t>C195</t>
  </si>
  <si>
    <t>ORD1184</t>
  </si>
  <si>
    <t>C452</t>
  </si>
  <si>
    <t>26/07/2024</t>
  </si>
  <si>
    <t>C181</t>
  </si>
  <si>
    <t>ORD1245</t>
  </si>
  <si>
    <t>Oct 02 2024</t>
  </si>
  <si>
    <t>Jun 02 2024</t>
  </si>
  <si>
    <t>ORD1048</t>
  </si>
  <si>
    <t>C464</t>
  </si>
  <si>
    <t>2024-01-22</t>
  </si>
  <si>
    <t>2024-07-15</t>
  </si>
  <si>
    <t>C128</t>
  </si>
  <si>
    <t>ORD1126</t>
  </si>
  <si>
    <t>06/02/2025</t>
  </si>
  <si>
    <t>C897</t>
  </si>
  <si>
    <t>05/04/2025</t>
  </si>
  <si>
    <t>2024-08-15</t>
  </si>
  <si>
    <t>C652</t>
  </si>
  <si>
    <t>C484</t>
  </si>
  <si>
    <t>2025-01-28</t>
  </si>
  <si>
    <t>Apr 06 2025</t>
  </si>
  <si>
    <t>ORD1169</t>
  </si>
  <si>
    <t>2024-07-18</t>
  </si>
  <si>
    <t>C123</t>
  </si>
  <si>
    <t>ORD1170</t>
  </si>
  <si>
    <t>C132</t>
  </si>
  <si>
    <t>C840</t>
  </si>
  <si>
    <t>ORD1175</t>
  </si>
  <si>
    <t>21/11/2024</t>
  </si>
  <si>
    <t>C318</t>
  </si>
  <si>
    <t>C545</t>
  </si>
  <si>
    <t>01/06/2024</t>
  </si>
  <si>
    <t>C960</t>
  </si>
  <si>
    <t>Dec 19 2024</t>
  </si>
  <si>
    <t>ORD1027</t>
  </si>
  <si>
    <t>Dec 15 2024</t>
  </si>
  <si>
    <t>26/12/2024</t>
  </si>
  <si>
    <t>C833</t>
  </si>
  <si>
    <t>Dec 06 2024</t>
  </si>
  <si>
    <t>ORD1069</t>
  </si>
  <si>
    <t>15/06/2024</t>
  </si>
  <si>
    <t>C146</t>
  </si>
  <si>
    <t>Oct 14 2024</t>
  </si>
  <si>
    <t>C673</t>
  </si>
  <si>
    <t>Mar 12 2025</t>
  </si>
  <si>
    <t>C105</t>
  </si>
  <si>
    <t>C759</t>
  </si>
  <si>
    <t>Feb 07 2024</t>
  </si>
  <si>
    <t>C495</t>
  </si>
  <si>
    <t>2025-01-18</t>
  </si>
  <si>
    <t>C230</t>
  </si>
  <si>
    <t>C175</t>
  </si>
  <si>
    <t>11/07/2024</t>
  </si>
  <si>
    <t>Jul 12 2024</t>
  </si>
  <si>
    <t>C218</t>
  </si>
  <si>
    <t>Oct 17 2024</t>
  </si>
  <si>
    <t>C717</t>
  </si>
  <si>
    <t>ORD1054</t>
  </si>
  <si>
    <t>08/12/2024</t>
  </si>
  <si>
    <t>C568</t>
  </si>
  <si>
    <t>Mar 09 2025</t>
  </si>
  <si>
    <t>C198</t>
  </si>
  <si>
    <t>May 07 2024</t>
  </si>
  <si>
    <t>ORD1002</t>
  </si>
  <si>
    <t>C683</t>
  </si>
  <si>
    <t>15/10/2024</t>
  </si>
  <si>
    <t>C250</t>
  </si>
  <si>
    <t>Aug 31 2024</t>
  </si>
  <si>
    <t>C276</t>
  </si>
  <si>
    <t>2024-02-12</t>
  </si>
  <si>
    <t>ORD1096</t>
  </si>
  <si>
    <t>25/06/2024</t>
  </si>
  <si>
    <t>ORD1188</t>
  </si>
  <si>
    <t>2024-09-13</t>
  </si>
  <si>
    <t>04/02/2024</t>
  </si>
  <si>
    <t>C101</t>
  </si>
  <si>
    <t>C910</t>
  </si>
  <si>
    <t>03/04/2025</t>
  </si>
  <si>
    <t>Feb 06 2024</t>
  </si>
  <si>
    <t>C479</t>
  </si>
  <si>
    <t>2024-09-09</t>
  </si>
  <si>
    <t>C944</t>
  </si>
  <si>
    <t>ORD1013</t>
  </si>
  <si>
    <t>Nov 06 2024</t>
  </si>
  <si>
    <t>2024-03-31</t>
  </si>
  <si>
    <t>Apr 20 2025</t>
  </si>
  <si>
    <t>C721</t>
  </si>
  <si>
    <t>C119</t>
  </si>
  <si>
    <t>07/04/2025</t>
  </si>
  <si>
    <t>C884</t>
  </si>
  <si>
    <t>2024-09-18</t>
  </si>
  <si>
    <t>30/04/2025</t>
  </si>
  <si>
    <t>Mar 04 2024</t>
  </si>
  <si>
    <t>2024-05-10</t>
  </si>
  <si>
    <t>30/11/2024</t>
  </si>
  <si>
    <t>C715</t>
  </si>
  <si>
    <t>2024-06-16</t>
  </si>
  <si>
    <t>27/11/2024</t>
  </si>
  <si>
    <t>ORD1072</t>
  </si>
  <si>
    <t>2024-10-21</t>
  </si>
  <si>
    <t>ORD1213</t>
  </si>
  <si>
    <t>Jan 05 2025</t>
  </si>
  <si>
    <t>C543</t>
  </si>
  <si>
    <t>ORD1206</t>
  </si>
  <si>
    <t>Nov 27 2024</t>
  </si>
  <si>
    <t>C784</t>
  </si>
  <si>
    <t>2024-02-27</t>
  </si>
  <si>
    <t>C373</t>
  </si>
  <si>
    <t>ORD1078</t>
  </si>
  <si>
    <t>2024-10-10</t>
  </si>
  <si>
    <t>C157</t>
  </si>
  <si>
    <t>2024-02-28</t>
  </si>
  <si>
    <t>C584</t>
  </si>
  <si>
    <t>Feb 02 2025</t>
  </si>
  <si>
    <t>Dec 02 2024</t>
  </si>
  <si>
    <t>Jul 13 2024</t>
  </si>
  <si>
    <t>03/05/2024</t>
  </si>
  <si>
    <t>C414</t>
  </si>
  <si>
    <t>25/02/2024</t>
  </si>
  <si>
    <t>C610</t>
  </si>
  <si>
    <t>2025-03-21</t>
  </si>
  <si>
    <t>C786</t>
  </si>
  <si>
    <t>C267</t>
  </si>
  <si>
    <t>2024-04-07</t>
  </si>
  <si>
    <t>C278</t>
  </si>
  <si>
    <t>ORD1068</t>
  </si>
  <si>
    <t>Apr 26 2025</t>
  </si>
  <si>
    <t>2024-08-05</t>
  </si>
  <si>
    <t>C460</t>
  </si>
  <si>
    <t>ORD1103</t>
  </si>
  <si>
    <t>Nov 04 2024</t>
  </si>
  <si>
    <t>C538</t>
  </si>
  <si>
    <t>Mar 28 2024</t>
  </si>
  <si>
    <t>C402</t>
  </si>
  <si>
    <t>ORD1186</t>
  </si>
  <si>
    <t>12/09/2024</t>
  </si>
  <si>
    <t>C658</t>
  </si>
  <si>
    <t>2024-03-25</t>
  </si>
  <si>
    <t>C313</t>
  </si>
  <si>
    <t>2025-06-16</t>
  </si>
  <si>
    <t>C996</t>
  </si>
  <si>
    <t>27/12/2024</t>
  </si>
  <si>
    <t>C401</t>
  </si>
  <si>
    <t>Nov 19 2024</t>
  </si>
  <si>
    <t>ORD1079</t>
  </si>
  <si>
    <t>2024-08-16</t>
  </si>
  <si>
    <t>C637</t>
  </si>
  <si>
    <t>2024-04-24</t>
  </si>
  <si>
    <t>Feb 28 2024</t>
  </si>
  <si>
    <t>C259</t>
  </si>
  <si>
    <t>C577</t>
  </si>
  <si>
    <t>25/10/2024</t>
  </si>
  <si>
    <t>C130</t>
  </si>
  <si>
    <t>2025-03-04</t>
  </si>
  <si>
    <t>C958</t>
  </si>
  <si>
    <t>2025-06-17</t>
  </si>
  <si>
    <t>C503</t>
  </si>
  <si>
    <t>17/05/2025</t>
  </si>
  <si>
    <t>C473</t>
  </si>
  <si>
    <t>2024-01-04</t>
  </si>
  <si>
    <t>2025-01-30</t>
  </si>
  <si>
    <t>C877</t>
  </si>
  <si>
    <t>C886</t>
  </si>
  <si>
    <t>C214</t>
  </si>
  <si>
    <t>Aug 30 2024</t>
  </si>
  <si>
    <t>C622</t>
  </si>
  <si>
    <t>2024-01-13</t>
  </si>
  <si>
    <t>C330</t>
  </si>
  <si>
    <t>2024-05-16</t>
  </si>
  <si>
    <t>C893</t>
  </si>
  <si>
    <t>C233</t>
  </si>
  <si>
    <t>28/04/2024</t>
  </si>
  <si>
    <t>C453</t>
  </si>
  <si>
    <t>C619</t>
  </si>
  <si>
    <t>ORD1228</t>
  </si>
  <si>
    <t>Oct 09 2024</t>
  </si>
  <si>
    <t>C803</t>
  </si>
  <si>
    <t>2025-04-23</t>
  </si>
  <si>
    <t>C164</t>
  </si>
  <si>
    <t>Feb 12 2024</t>
  </si>
  <si>
    <t>01/09/2024</t>
  </si>
  <si>
    <t>C337</t>
  </si>
  <si>
    <t>2025-04-20</t>
  </si>
  <si>
    <t>C296</t>
  </si>
  <si>
    <t>04/04/2025</t>
  </si>
  <si>
    <t>C501</t>
  </si>
  <si>
    <t>Sunscreen Spf50</t>
  </si>
  <si>
    <t>Acne Cleanser</t>
  </si>
  <si>
    <t>Sunscreen Spf30</t>
  </si>
  <si>
    <t>N/A</t>
  </si>
  <si>
    <t>ORD1017</t>
  </si>
  <si>
    <t>ORD1018</t>
  </si>
  <si>
    <t>ORD1032</t>
  </si>
  <si>
    <t>ORD1042</t>
  </si>
  <si>
    <t>ORD1044</t>
  </si>
  <si>
    <t>ORD1061</t>
  </si>
  <si>
    <t>ORD1071</t>
  </si>
  <si>
    <t>ORD1074</t>
  </si>
  <si>
    <t>ORD1076</t>
  </si>
  <si>
    <t>ORD1082</t>
  </si>
  <si>
    <t>ORD1092</t>
  </si>
  <si>
    <t>ORD1100</t>
  </si>
  <si>
    <t>ORD1115</t>
  </si>
  <si>
    <t>ORD1123</t>
  </si>
  <si>
    <t>ORD1125</t>
  </si>
  <si>
    <t>ORD1127</t>
  </si>
  <si>
    <t>ORD1133</t>
  </si>
  <si>
    <t>ORD1136</t>
  </si>
  <si>
    <t>ORD1140</t>
  </si>
  <si>
    <t>ORD1144</t>
  </si>
  <si>
    <t>ORD1145</t>
  </si>
  <si>
    <t>ORD1149</t>
  </si>
  <si>
    <t>ORD1154</t>
  </si>
  <si>
    <t>ORD1162</t>
  </si>
  <si>
    <t>ORD1171</t>
  </si>
  <si>
    <t>ORD1174</t>
  </si>
  <si>
    <t>ORD1181</t>
  </si>
  <si>
    <t>ORD1190</t>
  </si>
  <si>
    <t>ORD1203</t>
  </si>
  <si>
    <t>ORD1214</t>
  </si>
  <si>
    <t>ORD1236</t>
  </si>
  <si>
    <t>ORD1238</t>
  </si>
  <si>
    <t>ORD1243</t>
  </si>
  <si>
    <t>ORD1246</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</si>
  <si>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</si>
  <si>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</si>
  <si>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</si>
  <si>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</si>
  <si>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</si>
  <si>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</si>
  <si>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</si>
  <si>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</si>
  <si>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</si>
  <si>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</si>
  <si>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</si>
  <si>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</si>
  <si>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</si>
  <si>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</si>
  <si>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</si>
  <si>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</si>
  <si>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</si>
  <si>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</si>
  <si>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</si>
  <si>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</si>
  <si>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</si>
  <si>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</si>
  <si>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</si>
  <si>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</si>
  <si>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</si>
  <si>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</si>
  <si>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</si>
  <si>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</si>
  <si>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</si>
  <si>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</si>
  <si>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</si>
  <si>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</si>
  <si>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</si>
  <si>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</si>
  <si>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</si>
  <si>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</si>
  <si>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</si>
  <si>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</si>
  <si>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</si>
  <si>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</si>
  <si>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</si>
  <si>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</si>
  <si>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</si>
  <si>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</si>
  <si>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</si>
  <si>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</si>
  <si>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</si>
  <si>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</si>
  <si>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</si>
  <si>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</si>
  <si>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</si>
  <si>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</si>
  <si>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</si>
  <si>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</si>
  <si>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</si>
  <si>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</si>
  <si>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</si>
  <si>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</si>
  <si>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</si>
  <si>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</si>
  <si>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</si>
  <si>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</si>
  <si>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</si>
  <si>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</si>
  <si>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</si>
  <si>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</si>
  <si>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</si>
  <si>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</si>
  <si>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</si>
  <si>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</si>
  <si>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</si>
  <si>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</si>
  <si>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</si>
  <si>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</si>
  <si>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</si>
  <si>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</si>
  <si>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</si>
  <si>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</si>
  <si>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</si>
  <si>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</si>
  <si>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</si>
  <si>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</si>
  <si>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</si>
  <si>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</si>
  <si>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</si>
  <si>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</si>
  <si>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</si>
  <si>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</si>
  <si>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</si>
  <si>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</si>
  <si>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</si>
  <si>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</si>
  <si>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</si>
  <si>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</si>
  <si>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</si>
  <si>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</si>
  <si>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</si>
  <si>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</si>
  <si>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</si>
  <si>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</si>
  <si>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</si>
  <si>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</si>
  <si>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</si>
  <si>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</si>
  <si>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</si>
  <si>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</si>
  <si>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</si>
  <si>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</si>
  <si>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</si>
  <si>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</si>
  <si>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</si>
  <si>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</si>
  <si>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</si>
  <si>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</si>
  <si>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</si>
  <si>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</si>
  <si>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</si>
  <si>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</si>
  <si>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</si>
  <si>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</si>
  <si>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</si>
  <si>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</si>
  <si>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</si>
  <si>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</si>
  <si>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</si>
  <si>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</si>
  <si>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</si>
  <si>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</si>
  <si>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</si>
  <si>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</si>
  <si>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</si>
  <si>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</si>
  <si>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</si>
  <si>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</si>
  <si>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</si>
  <si>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</si>
  <si>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</si>
  <si>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</si>
  <si>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</si>
  <si>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</si>
  <si>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</si>
  <si>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</si>
  <si>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</si>
  <si>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</si>
  <si>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</si>
  <si>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</si>
  <si>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</si>
  <si>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</si>
  <si>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</si>
  <si>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</si>
  <si>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</si>
  <si>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</si>
  <si>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</si>
  <si>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</si>
  <si>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</si>
  <si>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</si>
  <si>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</si>
  <si>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</si>
  <si>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</si>
  <si>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</si>
  <si>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</si>
  <si>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</si>
  <si>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</si>
  <si>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</si>
  <si>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</si>
  <si>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</si>
  <si>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</si>
  <si>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</si>
  <si>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</si>
  <si>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</si>
  <si>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</si>
  <si>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</si>
  <si>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</si>
  <si>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</si>
  <si>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</si>
  <si>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</si>
  <si>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</si>
  <si>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</si>
  <si>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</si>
  <si>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</si>
  <si>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</si>
  <si>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</si>
  <si>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</si>
  <si>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</si>
  <si>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</si>
  <si>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</si>
  <si>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</si>
  <si>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</si>
  <si>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</si>
  <si>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</si>
  <si>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</si>
  <si>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</si>
  <si>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</si>
  <si>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</si>
  <si>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</si>
  <si>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</si>
  <si>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</si>
  <si>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</si>
  <si>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</si>
  <si>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</si>
  <si>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</si>
  <si>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</si>
  <si>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</si>
  <si>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</si>
  <si>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</si>
  <si>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</si>
  <si>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</si>
  <si>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</si>
  <si>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</si>
  <si>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</si>
  <si>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</si>
  <si>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</si>
  <si>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</si>
  <si>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</si>
  <si>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</si>
  <si>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</si>
  <si>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</si>
  <si>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</si>
  <si>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</si>
  <si>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</si>
  <si>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</si>
  <si>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</si>
  <si>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</si>
  <si>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</si>
  <si>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</si>
  <si>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</si>
  <si>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</si>
  <si>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</si>
  <si>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</si>
  <si>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</si>
  <si>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</si>
  <si>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</si>
  <si>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</si>
  <si>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</si>
  <si>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</si>
  <si>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</si>
  <si>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</si>
  <si>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</si>
  <si>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</si>
  <si>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</si>
  <si>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</si>
  <si>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</si>
  <si>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</si>
  <si>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</si>
  <si>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</si>
  <si>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</si>
  <si>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</si>
  <si>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</si>
  <si>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</si>
  <si>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</si>
  <si>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Total_Cost_Price</t>
  </si>
  <si>
    <t>Discount %</t>
  </si>
  <si>
    <t>Discount Amount</t>
  </si>
  <si>
    <t>Discounted Price</t>
  </si>
  <si>
    <t>Profit After Discount</t>
  </si>
  <si>
    <t xml:space="preserve">Product Name </t>
  </si>
  <si>
    <t>Profit Before Discount</t>
  </si>
  <si>
    <t>Avg_Cost_Price</t>
  </si>
  <si>
    <t>Avg_Selling_Price</t>
  </si>
  <si>
    <t xml:space="preserve"> Avg Cost Price</t>
  </si>
  <si>
    <t>Avg Selling Price</t>
  </si>
  <si>
    <t>SKINCARE DISCOUNT &amp; PROFIT CALCULATOR</t>
  </si>
  <si>
    <t>Select a product and enter a discount percentage to evaluate the impact on profitability.</t>
  </si>
  <si>
    <t>Grand Total</t>
  </si>
  <si>
    <t>Row Labels</t>
  </si>
  <si>
    <t>Sum of Revenue</t>
  </si>
  <si>
    <t>Revenue by Product</t>
  </si>
  <si>
    <t>Profit by Product</t>
  </si>
  <si>
    <t>Sum of Profit</t>
  </si>
  <si>
    <t>Revenue by Category</t>
  </si>
  <si>
    <t>Revenue by Sales Channel</t>
  </si>
  <si>
    <t>Revenue by Country</t>
  </si>
  <si>
    <t>Sum of Quantity_Sold</t>
  </si>
  <si>
    <t>Quantity Sold by Age Group</t>
  </si>
  <si>
    <t>Jan</t>
  </si>
  <si>
    <t>Feb</t>
  </si>
  <si>
    <t>Mar</t>
  </si>
  <si>
    <t>Apr</t>
  </si>
  <si>
    <t>May</t>
  </si>
  <si>
    <t>Jun</t>
  </si>
  <si>
    <t>Jul</t>
  </si>
  <si>
    <t>Aug</t>
  </si>
  <si>
    <t>Sep</t>
  </si>
  <si>
    <t>Oct</t>
  </si>
  <si>
    <t>Nov</t>
  </si>
  <si>
    <t>Dec</t>
  </si>
  <si>
    <t>Revenue Over Time</t>
  </si>
  <si>
    <t>KPI 1</t>
  </si>
  <si>
    <t>KPI 2</t>
  </si>
  <si>
    <t>KPI 3</t>
  </si>
  <si>
    <t>Average of Discount_Percent</t>
  </si>
  <si>
    <t>KPI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</si>
</sst>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quot;$&quot;#,##0.00"/>
  </numFmts>
  <fonts count="5" x14ac:knownFonts="1">
    <font>
      <sz val="11"/>
      <color theme="1"/>
      <name val="Calibri"/>
      <family val="2"/>
      <scheme val="minor"/>
    </font>
    <font>
      <b/>
      <sz val="11"/>
      <color theme="1"/>
      <name val="Calibri"/>
      <family val="2"/>
      <scheme val="minor"/>
    </font>
    <font>
      <b/>
      <sz val="18"/>
      <color theme="0"/>
      <name val="Calibri"/>
      <family val="2"/>
      <scheme val="minor"/>
    </font>
    <font>
      <sz val="18"/>
      <color theme="1"/>
      <name val="Calibri"/>
      <family val="2"/>
      <scheme val="minor"/>
    </font>
    <font>
      <b/>
      <sz val="11"/>
      <color theme="0"/>
      <name val="Cambria"/>
      <family val="1"/>
      <scheme val="major"/>
    </font>
  </fonts>
  <fills count="6">
    <fill>
      <patternFill patternType="none"/>
    </fill>
    <fill>
      <patternFill patternType="gray125"/>
    </fill>
    <fill>
      <patternFill patternType="solid">
        <fgColor theme="7" tint="-0.499984740745262"/>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164" fontId="0" fillId="0" borderId="0" xfId="0" applyNumberFormat="1"/>
    <xf numFmtId="165" fontId="0" fillId="0" borderId="0" xfId="0" applyNumberFormat="1"/>
    <xf numFmtId="0" fontId="0" fillId="0" borderId="0" xfId="0" applyAlignment="1">
      <alignment horizontal="right"/>
    </xf>
    <xf numFmtId="0" fontId="0" fillId="0" borderId="0" xfId="0" applyAlignment="1">
      <alignment horizontal="center"/>
    </xf>
    <xf numFmtId="9" fontId="0" fillId="0" borderId="0" xfId="0" applyNumberFormat="1"/>
    <xf numFmtId="0" fontId="1" fillId="0" borderId="0" xfId="0" applyFont="1" applyAlignment="1">
      <alignment horizontal="center"/>
    </xf>
    <xf numFmtId="165" fontId="1" fillId="0" borderId="0" xfId="0" applyNumberFormat="1" applyFont="1" applyAlignment="1">
      <alignment horizontal="center"/>
    </xf>
    <xf numFmtId="0" fontId="1" fillId="4" borderId="1" xfId="0" applyFont="1" applyFill="1" applyBorder="1"/>
    <xf numFmtId="165" fontId="0" fillId="0" borderId="1" xfId="0" applyNumberFormat="1" applyBorder="1"/>
    <xf numFmtId="0" fontId="1" fillId="3" borderId="1" xfId="0" applyFont="1" applyFill="1" applyBorder="1"/>
    <xf numFmtId="0" fontId="0" fillId="0" borderId="0" xfId="0" pivotButton="1"/>
    <xf numFmtId="0" fontId="0" fillId="0" borderId="0" xfId="0" applyAlignment="1">
      <alignment horizontal="left"/>
    </xf>
    <xf numFmtId="0" fontId="1" fillId="5" borderId="0" xfId="0" applyFont="1" applyFill="1" applyAlignment="1">
      <alignment horizontal="center"/>
    </xf>
    <xf numFmtId="0" fontId="0" fillId="0" borderId="1" xfId="0" applyBorder="1" applyProtection="1">
      <protection locked="0"/>
    </xf>
    <xf numFmtId="10" fontId="0" fillId="0" borderId="1" xfId="0" applyNumberFormat="1" applyBorder="1" applyProtection="1">
      <protection locked="0"/>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5" borderId="0" xfId="0" applyFont="1" applyFill="1" applyAlignment="1">
      <alignment horizontal="center"/>
    </xf>
    <xf numFmtId="0" fontId="1" fillId="5" borderId="0" xfId="0" applyFont="1" applyFill="1" applyAlignment="1">
      <alignment horizontal="center"/>
    </xf>
    <xf numFmtId="0" fontId="0" fillId="5" borderId="0" xfId="0" applyFill="1" applyAlignment="1">
      <alignment horizontal="center"/>
    </xf>
  </cellXfs>
  <cellStyles count="1">
    <cellStyle name="Normal" xfId="0" builtinId="0"/>
  </cellStyles>
  <dxfs count="11">
    <dxf>
      <font>
        <color rgb="FF006100"/>
      </font>
      <fill>
        <patternFill>
          <bgColor rgb="FFC6EFCE"/>
        </patternFill>
      </fill>
    </dxf>
    <dxf>
      <font>
        <color rgb="FF9C0006"/>
      </font>
      <fill>
        <patternFill>
          <bgColor rgb="FFFFC7CE"/>
        </patternFill>
      </fill>
    </dxf>
    <dxf>
      <font>
        <name val="Calibri"/>
        <family val="2"/>
        <scheme val="minor"/>
      </font>
    </dxf>
    <dxf>
      <font>
        <name val="Calibri"/>
        <family val="2"/>
        <scheme val="minor"/>
      </font>
    </dxf>
    <dxf>
      <numFmt numFmtId="165" formatCode="&quot;$&quot;#,##0.00"/>
    </dxf>
    <dxf>
      <numFmt numFmtId="165" formatCode="&quot;$&quot;#,##0.00"/>
    </dxf>
    <dxf>
      <numFmt numFmtId="13" formatCode="0%"/>
    </dxf>
    <dxf>
      <numFmt numFmtId="165" formatCode="&quot;$&quot;#,##0.00"/>
    </dxf>
    <dxf>
      <numFmt numFmtId="165" formatCode="&quot;$&quot;#,##0.00"/>
    </dxf>
    <dxf>
      <numFmt numFmtId="165" formatCode="&quot;$&quot;#,##0.00"/>
    </dxf>
    <dxf>
      <numFmt numFmtId="164" formatCode="mm/dd/yy;@"/>
    </dxf>
  </dxfs>
  <tableStyles count="0" defaultTableStyle="TableStyleMedium9" defaultPivotStyle="PivotStyleLight16"/>
  <colors>
    <mruColors>
      <color rgb="FFA9C88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[GlowBeauty_Skincare_Analysis_Portfolio.xlsx]Pivot_Table!Revenue by Product</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Pivot_Table!$A$3:$A$20</c:f>
              <c:strCache>
                <c:ptCount val="17"/>
                <c:pt idx="0">
                  <c:v>Vitamin C Serum</c:v>
                </c:pt>
                <c:pt idx="1">
                  <c:v>Retinol Serum</c:v>
                </c:pt>
                <c:pt idx="2">
                  <c:v>Toner</c:v>
                </c:pt>
                <c:pt idx="3">
                  <c:v>Hydrating Cream</c:v>
                </c:pt>
                <c:pt idx="4">
                  <c:v>Body Scrub</c:v>
                </c:pt>
                <c:pt idx="5">
                  <c:v>Lip Balm</c:v>
                </c:pt>
                <c:pt idx="6">
                  <c:v>Hyaluronic Acid Serum</c:v>
                </c:pt>
                <c:pt idx="7">
                  <c:v>Night Cream</c:v>
                </c:pt>
                <c:pt idx="8">
                  <c:v>Sunscreen Spf50</c:v>
                </c:pt>
                <c:pt idx="9">
                  <c:v>Lip Scrub</c:v>
                </c:pt>
                <c:pt idx="10">
                  <c:v>Deep Clean Cleanser</c:v>
                </c:pt>
                <c:pt idx="11">
                  <c:v>Niacinamide Serum</c:v>
                </c:pt>
                <c:pt idx="12">
                  <c:v>Acne Cleanser</c:v>
                </c:pt>
                <c:pt idx="13">
                  <c:v>Face Wash</c:v>
                </c:pt>
                <c:pt idx="14">
                  <c:v>Face Cream</c:v>
                </c:pt>
                <c:pt idx="15">
                  <c:v>Sunscreen Spf30</c:v>
                </c:pt>
                <c:pt idx="16">
                  <c:v>Face Mask</c:v>
                </c:pt>
              </c:strCache>
            </c:strRef>
          </c:cat>
          <c:val>
            <c:numRef>
              <c:f>Pivot_Table!$B$3:$B$20</c:f>
              <c:numCache>
                <c:formatCode>"$"#,##0.00</c:formatCode>
                <c:ptCount val="17"/>
                <c:pt idx="0">
                  <c:v>3845198</c:v>
                </c:pt>
                <c:pt idx="1">
                  <c:v>2131792</c:v>
                </c:pt>
                <c:pt idx="2">
                  <c:v>2065190</c:v>
                </c:pt>
                <c:pt idx="3">
                  <c:v>1956929</c:v>
                </c:pt>
                <c:pt idx="4">
                  <c:v>1937617</c:v>
                </c:pt>
                <c:pt idx="5">
                  <c:v>1666053</c:v>
                </c:pt>
                <c:pt idx="6">
                  <c:v>1651656</c:v>
                </c:pt>
                <c:pt idx="7">
                  <c:v>1599345</c:v>
                </c:pt>
                <c:pt idx="8">
                  <c:v>1555526</c:v>
                </c:pt>
                <c:pt idx="9">
                  <c:v>1460662</c:v>
                </c:pt>
                <c:pt idx="10">
                  <c:v>1436405</c:v>
                </c:pt>
                <c:pt idx="11">
                  <c:v>1344943</c:v>
                </c:pt>
                <c:pt idx="12">
                  <c:v>1287400</c:v>
                </c:pt>
                <c:pt idx="13">
                  <c:v>1282222</c:v>
                </c:pt>
                <c:pt idx="14">
                  <c:v>1000859</c:v>
                </c:pt>
                <c:pt idx="15">
                  <c:v>961967</c:v>
                </c:pt>
                <c:pt idx="16">
                  <c:v>899172</c:v>
                </c:pt>
              </c:numCache>
            </c:numRef>
          </c:val>
          <c:extLst>
            <c:ext xmlns:c16="http://schemas.microsoft.com/office/drawing/2014/chart" uri="{C3380CC4-5D6E-409C-BE32-E72D297353CC}">
              <c16:uniqueId val="{00000000-9E12-40D8-AAC5-367C14603190}"/>
            </c:ext>
          </c:extLst>
        </c:ser>
        <c:dLbls>
          <c:dLblPos val="outEnd"/>
          <c:showLegendKey val="0"/>
          <c:showVal val="1"/>
          <c:showCatName val="0"/>
          <c:showSerName val="0"/>
          <c:showPercent val="0"/>
          <c:showBubbleSize val="0"/>
        </c:dLbls>
        <c:gapWidth val="182"/>
        <c:axId val="1742530352"/>
        <c:axId val="1742531312"/>
      </c:barChart>
      <c:catAx>
        <c:axId val="17425303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2531312"/>
        <c:crosses val="autoZero"/>
        <c:auto val="1"/>
        <c:lblAlgn val="ctr"/>
        <c:lblOffset val="100"/>
        <c:noMultiLvlLbl val="0"/>
      </c:catAx>
      <c:valAx>
        <c:axId val="1742531312"/>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74253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[GlowBeauty_Skincare_Analysis_Portfolio.xlsx]Pivot_Table!Profit by Product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Pivot_Table!$H$2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Pivot_Table!$G$3:$G$20</c:f>
              <c:strCache>
                <c:ptCount val="17"/>
                <c:pt idx="0">
                  <c:v>Vitamin C Serum</c:v>
                </c:pt>
                <c:pt idx="1">
                  <c:v>Hydrating Cream</c:v>
                </c:pt>
                <c:pt idx="2">
                  <c:v>Retinol Serum</c:v>
                </c:pt>
                <c:pt idx="3">
                  <c:v>Body Scrub</c:v>
                </c:pt>
                <c:pt idx="4">
                  <c:v>Night Cream</c:v>
                </c:pt>
                <c:pt idx="5">
                  <c:v>Toner</c:v>
                </c:pt>
                <c:pt idx="6">
                  <c:v>Lip Scrub</c:v>
                </c:pt>
                <c:pt idx="7">
                  <c:v>Hyaluronic Acid Serum</c:v>
                </c:pt>
                <c:pt idx="8">
                  <c:v>Lip Balm</c:v>
                </c:pt>
                <c:pt idx="9">
                  <c:v>Face Wash</c:v>
                </c:pt>
                <c:pt idx="10">
                  <c:v>Sunscreen Spf50</c:v>
                </c:pt>
                <c:pt idx="11">
                  <c:v>Niacinamide Serum</c:v>
                </c:pt>
                <c:pt idx="12">
                  <c:v>Deep Clean Cleanser</c:v>
                </c:pt>
                <c:pt idx="13">
                  <c:v>Acne Cleanser</c:v>
                </c:pt>
                <c:pt idx="14">
                  <c:v>Face Cream</c:v>
                </c:pt>
                <c:pt idx="15">
                  <c:v>Sunscreen Spf30</c:v>
                </c:pt>
                <c:pt idx="16">
                  <c:v>Face Mask</c:v>
                </c:pt>
              </c:strCache>
            </c:strRef>
          </c:cat>
          <c:val>
            <c:numRef>
              <c:f>Pivot_Table!$H$3:$H$20</c:f>
              <c:numCache>
                <c:formatCode>"$"#,##0.00</c:formatCode>
                <c:ptCount val="17"/>
                <c:pt idx="0">
                  <c:v>1315511</c:v>
                </c:pt>
                <c:pt idx="1">
                  <c:v>756596</c:v>
                </c:pt>
                <c:pt idx="2">
                  <c:v>734434</c:v>
                </c:pt>
                <c:pt idx="3">
                  <c:v>648885</c:v>
                </c:pt>
                <c:pt idx="4">
                  <c:v>598764</c:v>
                </c:pt>
                <c:pt idx="5">
                  <c:v>578304</c:v>
                </c:pt>
                <c:pt idx="6">
                  <c:v>572653</c:v>
                </c:pt>
                <c:pt idx="7">
                  <c:v>569014</c:v>
                </c:pt>
                <c:pt idx="8">
                  <c:v>564561</c:v>
                </c:pt>
                <c:pt idx="9">
                  <c:v>550040</c:v>
                </c:pt>
                <c:pt idx="10">
                  <c:v>499118</c:v>
                </c:pt>
                <c:pt idx="11">
                  <c:v>462783</c:v>
                </c:pt>
                <c:pt idx="12">
                  <c:v>443733</c:v>
                </c:pt>
                <c:pt idx="13">
                  <c:v>416060</c:v>
                </c:pt>
                <c:pt idx="14">
                  <c:v>369940</c:v>
                </c:pt>
                <c:pt idx="15">
                  <c:v>344616</c:v>
                </c:pt>
                <c:pt idx="16">
                  <c:v>341641</c:v>
                </c:pt>
              </c:numCache>
            </c:numRef>
          </c:val>
          <c:extLst>
            <c:ext xmlns:c16="http://schemas.microsoft.com/office/drawing/2014/chart" uri="{C3380CC4-5D6E-409C-BE32-E72D297353CC}">
              <c16:uniqueId val="{00000000-3B60-47BF-8A9D-C6B9702EF24B}"/>
            </c:ext>
          </c:extLst>
        </c:ser>
        <c:dLbls>
          <c:dLblPos val="outEnd"/>
          <c:showLegendKey val="0"/>
          <c:showVal val="1"/>
          <c:showCatName val="0"/>
          <c:showSerName val="0"/>
          <c:showPercent val="0"/>
          <c:showBubbleSize val="0"/>
        </c:dLbls>
        <c:gapWidth val="182"/>
        <c:axId val="1637517824"/>
        <c:axId val="1639224160"/>
      </c:barChart>
      <c:catAx>
        <c:axId val="16375178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224160"/>
        <c:crosses val="autoZero"/>
        <c:auto val="1"/>
        <c:lblAlgn val="ctr"/>
        <c:lblOffset val="100"/>
        <c:noMultiLvlLbl val="0"/>
      </c:catAx>
      <c:valAx>
        <c:axId val="1639224160"/>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163751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[GlowBeauty_Skincare_Analysis_Portfolio.xlsx]Pivot_Table!Revenue by Category</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Pivot_Table!$B$25</c:f>
              <c:strCache>
                <c:ptCount val="1"/>
                <c:pt idx="0">
                  <c:v>Total</c:v>
                </c:pt>
              </c:strCache>
            </c:strRef>
          </c:tx>
          <c:spPr>
            <a:solidFill>
              <a:schemeClr val="accent1"/>
            </a:solidFill>
            <a:ln>
              <a:noFill/>
            </a:ln>
            <a:effectLst/>
          </c:spPr>
          <c:invertIfNegative val="0"/>
          <c:cat>
            <c:strRef>
              <c:f>Pivot_Table!$A$26:$A$31</c:f>
              <c:strCache>
                <c:ptCount val="5"/>
                <c:pt idx="0">
                  <c:v>Serum</c:v>
                </c:pt>
                <c:pt idx="1">
                  <c:v>Other</c:v>
                </c:pt>
                <c:pt idx="2">
                  <c:v>Moisturizer</c:v>
                </c:pt>
                <c:pt idx="3">
                  <c:v>Cleanser</c:v>
                </c:pt>
                <c:pt idx="4">
                  <c:v>Protection</c:v>
                </c:pt>
              </c:strCache>
            </c:strRef>
          </c:cat>
          <c:val>
            <c:numRef>
              <c:f>Pivot_Table!$B$26:$B$31</c:f>
              <c:numCache>
                <c:formatCode>"$"#,##0.00</c:formatCode>
                <c:ptCount val="5"/>
                <c:pt idx="0">
                  <c:v>8973589</c:v>
                </c:pt>
                <c:pt idx="1">
                  <c:v>8028694</c:v>
                </c:pt>
                <c:pt idx="2">
                  <c:v>4557133</c:v>
                </c:pt>
                <c:pt idx="3">
                  <c:v>4006027</c:v>
                </c:pt>
                <c:pt idx="4">
                  <c:v>2517493</c:v>
                </c:pt>
              </c:numCache>
            </c:numRef>
          </c:val>
          <c:extLst>
            <c:ext xmlns:c16="http://schemas.microsoft.com/office/drawing/2014/chart" uri="{C3380CC4-5D6E-409C-BE32-E72D297353CC}">
              <c16:uniqueId val="{00000000-40DD-4E45-8F6C-7EA93010909D}"/>
            </c:ext>
          </c:extLst>
        </c:ser>
        <c:dLbls>
          <c:showLegendKey val="0"/>
          <c:showVal val="0"/>
          <c:showCatName val="0"/>
          <c:showSerName val="0"/>
          <c:showPercent val="0"/>
          <c:showBubbleSize val="0"/>
        </c:dLbls>
        <c:gapWidth val="219"/>
        <c:overlap val="-27"/>
        <c:axId val="1741701712"/>
        <c:axId val="1391508096"/>
      </c:barChart>
      <c:catAx>
        <c:axId val="174170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1508096"/>
        <c:crosses val="autoZero"/>
        <c:auto val="1"/>
        <c:lblAlgn val="ctr"/>
        <c:lblOffset val="100"/>
        <c:noMultiLvlLbl val="0"/>
      </c:catAx>
      <c:valAx>
        <c:axId val="13915080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701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[GlowBeauty_Skincare_Analysis_Portfolio.xlsx]Pivot_Table!Revenue by Sales Channel</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Pivot_Table!$H$25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074-4045-94EF-D2857DE791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074-4045-94EF-D2857DE791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074-4045-94EF-D2857DE7919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074-4045-94EF-D2857DE79197}"/>
              </c:ext>
            </c:extLst>
          </c:dPt>
          <c:cat>
            <c:strRef>
              <c:f>Pivot_Table!$G$26:$G$30</c:f>
              <c:strCache>
                <c:ptCount val="4"/>
                <c:pt idx="0">
                  <c:v>Instagram</c:v>
                </c:pt>
                <c:pt idx="1">
                  <c:v>Retail</c:v>
                </c:pt>
                <c:pt idx="2">
                  <c:v>Website</c:v>
                </c:pt>
                <c:pt idx="3">
                  <c:v>WhatsApp</c:v>
                </c:pt>
              </c:strCache>
            </c:strRef>
          </c:cat>
          <c:val>
            <c:numRef>
              <c:f>Pivot_Table!$H$26:$H$30</c:f>
              <c:numCache>
                <c:formatCode>"$"#,##0.00</c:formatCode>
                <c:ptCount val="4"/>
                <c:pt idx="0">
                  <c:v>7318188</c:v>
                </c:pt>
                <c:pt idx="1">
                  <c:v>7258247</c:v>
                </c:pt>
                <c:pt idx="2">
                  <c:v>7114629</c:v>
                </c:pt>
                <c:pt idx="3">
                  <c:v>6391872</c:v>
                </c:pt>
              </c:numCache>
            </c:numRef>
          </c:val>
          <c:extLst>
            <c:ext xmlns:c16="http://schemas.microsoft.com/office/drawing/2014/chart" uri="{C3380CC4-5D6E-409C-BE32-E72D297353CC}">
              <c16:uniqueId val="{00000000-A0DC-4D76-B770-380893E81C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[GlowBeauty_Skincare_Analysis_Portfolio.xlsx]Pivot_Table!Revenue by Country</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Pivot_Table!$B$40</c:f>
              <c:strCache>
                <c:ptCount val="1"/>
                <c:pt idx="0">
                  <c:v>Total</c:v>
                </c:pt>
              </c:strCache>
            </c:strRef>
          </c:tx>
          <c:spPr>
            <a:solidFill>
              <a:schemeClr val="accent1"/>
            </a:solidFill>
            <a:ln>
              <a:noFill/>
            </a:ln>
            <a:effectLst/>
          </c:spPr>
          <c:invertIfNegative val="0"/>
          <c:cat>
            <c:strRef>
              <c:f>Pivot_Table!$A$41:$A$45</c:f>
              <c:strCache>
                <c:ptCount val="4"/>
                <c:pt idx="0">
                  <c:v>Nigeria</c:v>
                </c:pt>
                <c:pt idx="1">
                  <c:v>South Africa</c:v>
                </c:pt>
                <c:pt idx="2">
                  <c:v>Kenya</c:v>
                </c:pt>
                <c:pt idx="3">
                  <c:v>Ghana</c:v>
                </c:pt>
              </c:strCache>
            </c:strRef>
          </c:cat>
          <c:val>
            <c:numRef>
              <c:f>Pivot_Table!$B$41:$B$45</c:f>
              <c:numCache>
                <c:formatCode>"$"#,##0.00</c:formatCode>
                <c:ptCount val="4"/>
                <c:pt idx="0">
                  <c:v>16290076</c:v>
                </c:pt>
                <c:pt idx="1">
                  <c:v>4732455</c:v>
                </c:pt>
                <c:pt idx="2">
                  <c:v>3581996</c:v>
                </c:pt>
                <c:pt idx="3">
                  <c:v>3478409</c:v>
                </c:pt>
              </c:numCache>
            </c:numRef>
          </c:val>
          <c:extLst>
            <c:ext xmlns:c16="http://schemas.microsoft.com/office/drawing/2014/chart" uri="{C3380CC4-5D6E-409C-BE32-E72D297353CC}">
              <c16:uniqueId val="{00000000-F3DB-4AB0-AB59-C7D6120DC1D6}"/>
            </c:ext>
          </c:extLst>
        </c:ser>
        <c:dLbls>
          <c:showLegendKey val="0"/>
          <c:showVal val="0"/>
          <c:showCatName val="0"/>
          <c:showSerName val="0"/>
          <c:showPercent val="0"/>
          <c:showBubbleSize val="0"/>
        </c:dLbls>
        <c:gapWidth val="182"/>
        <c:axId val="1885134336"/>
        <c:axId val="1885136256"/>
      </c:barChart>
      <c:catAx>
        <c:axId val="1885134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36256"/>
        <c:crosses val="autoZero"/>
        <c:auto val="1"/>
        <c:lblAlgn val="ctr"/>
        <c:lblOffset val="100"/>
        <c:noMultiLvlLbl val="0"/>
      </c:catAx>
      <c:valAx>
        <c:axId val="18851362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3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[GlowBeauty_Skincare_Analysis_Portfolio.xlsx]Pivot_Table!Quantity sold by Age Group</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Pivot_Table!$H$40</c:f>
              <c:strCache>
                <c:ptCount val="1"/>
                <c:pt idx="0">
                  <c:v>Total</c:v>
                </c:pt>
              </c:strCache>
            </c:strRef>
          </c:tx>
          <c:spPr>
            <a:solidFill>
              <a:schemeClr val="accent1"/>
            </a:solidFill>
            <a:ln>
              <a:noFill/>
            </a:ln>
            <a:effectLst/>
          </c:spPr>
          <c:invertIfNegative val="0"/>
          <c:cat>
            <c:strRef>
              <c:f>Pivot_Table!$G$41:$G$44</c:f>
              <c:strCache>
                <c:ptCount val="3"/>
                <c:pt idx="0">
                  <c:v>Teen</c:v>
                </c:pt>
                <c:pt idx="1">
                  <c:v>Adult</c:v>
                </c:pt>
                <c:pt idx="2">
                  <c:v>Young Adult</c:v>
                </c:pt>
              </c:strCache>
            </c:strRef>
          </c:cat>
          <c:val>
            <c:numRef>
              <c:f>Pivot_Table!$H$41:$H$44</c:f>
              <c:numCache>
                <c:formatCode>General</c:formatCode>
                <c:ptCount val="3"/>
                <c:pt idx="0">
                  <c:v>883</c:v>
                </c:pt>
                <c:pt idx="1">
                  <c:v>689</c:v>
                </c:pt>
                <c:pt idx="2">
                  <c:v>676</c:v>
                </c:pt>
              </c:numCache>
            </c:numRef>
          </c:val>
          <c:extLst>
            <c:ext xmlns:c16="http://schemas.microsoft.com/office/drawing/2014/chart" uri="{C3380CC4-5D6E-409C-BE32-E72D297353CC}">
              <c16:uniqueId val="{00000000-98AD-4C38-9479-F4FC363B6D3D}"/>
            </c:ext>
          </c:extLst>
        </c:ser>
        <c:dLbls>
          <c:showLegendKey val="0"/>
          <c:showVal val="0"/>
          <c:showCatName val="0"/>
          <c:showSerName val="0"/>
          <c:showPercent val="0"/>
          <c:showBubbleSize val="0"/>
        </c:dLbls>
        <c:gapWidth val="219"/>
        <c:overlap val="-27"/>
        <c:axId val="2041548192"/>
        <c:axId val="2041546752"/>
      </c:barChart>
      <c:catAx>
        <c:axId val="2041548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46752"/>
        <c:crosses val="autoZero"/>
        <c:auto val="1"/>
        <c:lblAlgn val="ctr"/>
        <c:lblOffset val="100"/>
        <c:noMultiLvlLbl val="0"/>
      </c:catAx>
      <c:valAx>
        <c:axId val="2041546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548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[GlowBeauty_Skincare_Analysis_Portfolio.xlsx]Pivot_Table!Revenue overtime</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Pivot_Table!$B$56</c:f>
              <c:strCache>
                <c:ptCount val="1"/>
                <c:pt idx="0">
                  <c:v>Total</c:v>
                </c:pt>
              </c:strCache>
            </c:strRef>
          </c:tx>
          <c:spPr>
            <a:ln w="28575" cap="rnd">
              <a:solidFill>
                <a:schemeClr val="accent1"/>
              </a:solidFill>
              <a:round/>
            </a:ln>
            <a:effectLst/>
          </c:spPr>
          <c:marker>
            <c:symbol val="none"/>
          </c:marker>
          <c:cat>
            <c:strRef>
              <c:f>Pivot_Table!$A$57:$A$69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Pivot_Table!$B$57:$B$69</c:f>
              <c:numCache>
                <c:formatCode>"$"#,##0.00</c:formatCode>
                <c:ptCount val="12"/>
                <c:pt idx="0">
                  <c:v>2919448</c:v>
                </c:pt>
                <c:pt idx="1">
                  <c:v>2716210</c:v>
                </c:pt>
                <c:pt idx="2">
                  <c:v>3246292</c:v>
                </c:pt>
                <c:pt idx="3">
                  <c:v>3356835</c:v>
                </c:pt>
                <c:pt idx="4">
                  <c:v>2982542</c:v>
                </c:pt>
                <c:pt idx="5">
                  <c:v>3306122</c:v>
                </c:pt>
                <c:pt idx="6">
                  <c:v>1976673</c:v>
                </c:pt>
                <c:pt idx="7">
                  <c:v>1434225</c:v>
                </c:pt>
                <c:pt idx="8">
                  <c:v>1257561</c:v>
                </c:pt>
                <c:pt idx="9">
                  <c:v>1539463</c:v>
                </c:pt>
                <c:pt idx="10">
                  <c:v>1772345</c:v>
                </c:pt>
                <c:pt idx="11">
                  <c:v>1575220</c:v>
                </c:pt>
              </c:numCache>
            </c:numRef>
          </c:val>
          <c:smooth val="0"/>
          <c:extLst>
            <c:ext xmlns:c16="http://schemas.microsoft.com/office/drawing/2014/chart" uri="{C3380CC4-5D6E-409C-BE32-E72D297353CC}">
              <c16:uniqueId val="{00000000-9F73-4F87-A2AE-1FBED0DB7784}"/>
            </c:ext>
          </c:extLst>
        </c:ser>
        <c:dLbls>
          <c:showLegendKey val="0"/>
          <c:showVal val="0"/>
          <c:showCatName val="0"/>
          <c:showSerName val="0"/>
          <c:showPercent val="0"/>
          <c:showBubbleSize val="0"/>
        </c:dLbls>
        <c:smooth val="0"/>
        <c:axId val="1881555312"/>
        <c:axId val="1881555792"/>
      </c:lineChart>
      <c:catAx>
        <c:axId val="1881555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55792"/>
        <c:crosses val="autoZero"/>
        <c:auto val="1"/>
        <c:lblAlgn val="ctr"/>
        <c:lblOffset val="100"/>
        <c:noMultiLvlLbl val="0"/>
      </c:catAx>
      <c:valAx>
        <c:axId val="1881555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555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95250</xdr:colOff>
      <xdr:row>1</xdr:row>
      <xdr:rowOff>166007</xdr:rowOff>
    </xdr:from>
    <xdr:to>
      <xdr:col>5</xdr:col>
      <xdr:colOff>993321</xdr:colOff>
      <xdr:row>19</xdr:row>
      <xdr:rowOff>190499</xdr:rowOff>
    </xdr:to>
    <xdr:graphicFrame macro="">
      <xdr:nvGraphicFramePr>
        <xdr:cNvPr id="5" name="Chart 4">
          <a:extLst>
            <a:ext uri="{FF2B5EF4-FFF2-40B4-BE49-F238E27FC236}">
              <a16:creationId xmlns:a16="http://schemas.microsoft.com/office/drawing/2014/main" id="{B3BAE0C6-4D0A-14E6-15B3-BBC01AF271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129264</xdr:colOff>
      <xdr:row>1</xdr:row>
      <xdr:rowOff>176893</xdr:rowOff>
    </xdr:from>
    <xdr:to>
      <xdr:col>11</xdr:col>
      <xdr:colOff>1333499</xdr:colOff>
      <xdr:row>19</xdr:row>
      <xdr:rowOff>149679</xdr:rowOff>
    </xdr:to>
    <xdr:graphicFrame macro="">
      <xdr:nvGraphicFramePr>
        <xdr:cNvPr id="6" name="Chart 5">
          <a:extLst>
            <a:ext uri="{FF2B5EF4-FFF2-40B4-BE49-F238E27FC236}">
              <a16:creationId xmlns:a16="http://schemas.microsoft.com/office/drawing/2014/main" id="{AB02E89E-C6BE-DE28-8EB5-24C2A8B1F1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88445</xdr:colOff>
      <xdr:row>21</xdr:row>
      <xdr:rowOff>2722</xdr:rowOff>
    </xdr:from>
    <xdr:to>
      <xdr:col>5</xdr:col>
      <xdr:colOff>993321</xdr:colOff>
      <xdr:row>35</xdr:row>
      <xdr:rowOff>78922</xdr:rowOff>
    </xdr:to>
    <xdr:graphicFrame macro="">
      <xdr:nvGraphicFramePr>
        <xdr:cNvPr id="7" name="Chart 6">
          <a:extLst>
            <a:ext uri="{FF2B5EF4-FFF2-40B4-BE49-F238E27FC236}">
              <a16:creationId xmlns:a16="http://schemas.microsoft.com/office/drawing/2014/main" id="{B233609C-143E-258E-81E7-0542874D81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129266</xdr:colOff>
      <xdr:row>21</xdr:row>
      <xdr:rowOff>2722</xdr:rowOff>
    </xdr:from>
    <xdr:to>
      <xdr:col>11</xdr:col>
      <xdr:colOff>544285</xdr:colOff>
      <xdr:row>35</xdr:row>
      <xdr:rowOff>78922</xdr:rowOff>
    </xdr:to>
    <xdr:graphicFrame macro="">
      <xdr:nvGraphicFramePr>
        <xdr:cNvPr id="8" name="Chart 7">
          <a:extLst>
            <a:ext uri="{FF2B5EF4-FFF2-40B4-BE49-F238E27FC236}">
              <a16:creationId xmlns:a16="http://schemas.microsoft.com/office/drawing/2014/main" id="{183978A1-46C8-AA3F-63AA-FE54CF6AB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88445</xdr:colOff>
      <xdr:row>35</xdr:row>
      <xdr:rowOff>179614</xdr:rowOff>
    </xdr:from>
    <xdr:to>
      <xdr:col>5</xdr:col>
      <xdr:colOff>979714</xdr:colOff>
      <xdr:row>50</xdr:row>
      <xdr:rowOff>65314</xdr:rowOff>
    </xdr:to>
    <xdr:graphicFrame macro="">
      <xdr:nvGraphicFramePr>
        <xdr:cNvPr id="11" name="Chart 10">
          <a:extLst>
            <a:ext uri="{FF2B5EF4-FFF2-40B4-BE49-F238E27FC236}">
              <a16:creationId xmlns:a16="http://schemas.microsoft.com/office/drawing/2014/main" id="{AD783DB9-40B1-DFC0-A106-BD150E3331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129266</xdr:colOff>
      <xdr:row>36</xdr:row>
      <xdr:rowOff>70758</xdr:rowOff>
    </xdr:from>
    <xdr:to>
      <xdr:col>11</xdr:col>
      <xdr:colOff>544286</xdr:colOff>
      <xdr:row>50</xdr:row>
      <xdr:rowOff>146958</xdr:rowOff>
    </xdr:to>
    <xdr:graphicFrame macro="">
      <xdr:nvGraphicFramePr>
        <xdr:cNvPr id="12" name="Chart 11">
          <a:extLst>
            <a:ext uri="{FF2B5EF4-FFF2-40B4-BE49-F238E27FC236}">
              <a16:creationId xmlns:a16="http://schemas.microsoft.com/office/drawing/2014/main" id="{C2E6E758-BB60-DB18-14DB-927EE396E4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61231</xdr:colOff>
      <xdr:row>52</xdr:row>
      <xdr:rowOff>16332</xdr:rowOff>
    </xdr:from>
    <xdr:to>
      <xdr:col>5</xdr:col>
      <xdr:colOff>1020535</xdr:colOff>
      <xdr:row>68</xdr:row>
      <xdr:rowOff>163286</xdr:rowOff>
    </xdr:to>
    <xdr:graphicFrame macro="">
      <xdr:nvGraphicFramePr>
        <xdr:cNvPr id="14" name="Chart 13">
          <a:extLst>
            <a:ext uri="{FF2B5EF4-FFF2-40B4-BE49-F238E27FC236}">
              <a16:creationId xmlns:a16="http://schemas.microsoft.com/office/drawing/2014/main" id="{D0F830BE-F32A-7B60-D342-E6A63BAD6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7</xdr:col>
      <xdr:colOff>92528</xdr:colOff>
      <xdr:row>52</xdr:row>
      <xdr:rowOff>175533</xdr:rowOff>
    </xdr:from>
    <xdr:to>
      <xdr:col>8</xdr:col>
      <xdr:colOff>125186</xdr:colOff>
      <xdr:row>66</xdr:row>
      <xdr:rowOff>32658</xdr:rowOff>
    </xdr:to>
    <mc:AlternateContent xmlns:mc="http://schemas.openxmlformats.org/markup-compatibility/2006" xmlns:a14="http://schemas.microsoft.com/office/drawing/2010/main">
      <mc:Choice Requires="a14">
        <xdr:graphicFrame macro="">
          <xdr:nvGraphicFramePr>
            <xdr:cNvPr id="15" name="Category">
              <a:extLst>
                <a:ext uri="{FF2B5EF4-FFF2-40B4-BE49-F238E27FC236}">
                  <a16:creationId xmlns:a16="http://schemas.microsoft.com/office/drawing/2014/main" id="{5AA711F3-C347-9FF4-B8C7-48801079BD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814957" y="1008153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187776</xdr:colOff>
      <xdr:row>52</xdr:row>
      <xdr:rowOff>175532</xdr:rowOff>
    </xdr:from>
    <xdr:to>
      <xdr:col>9</xdr:col>
      <xdr:colOff>655861</xdr:colOff>
      <xdr:row>58</xdr:row>
      <xdr:rowOff>95250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1EC468C5-A7E9-6E39-089B-C97F744644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706347" y="10081532"/>
              <a:ext cx="1828800" cy="10627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187775</xdr:colOff>
      <xdr:row>58</xdr:row>
      <xdr:rowOff>163287</xdr:rowOff>
    </xdr:from>
    <xdr:to>
      <xdr:col>9</xdr:col>
      <xdr:colOff>655860</xdr:colOff>
      <xdr:row>66</xdr:row>
      <xdr:rowOff>27215</xdr:rowOff>
    </xdr:to>
    <mc:AlternateContent xmlns:mc="http://schemas.openxmlformats.org/markup-compatibility/2006" xmlns:a14="http://schemas.microsoft.com/office/drawing/2010/main">
      <mc:Choice Requires="a14">
        <xdr:graphicFrame macro="">
          <xdr:nvGraphicFramePr>
            <xdr:cNvPr id="17" name="Age_Group">
              <a:extLst>
                <a:ext uri="{FF2B5EF4-FFF2-40B4-BE49-F238E27FC236}">
                  <a16:creationId xmlns:a16="http://schemas.microsoft.com/office/drawing/2014/main" id="{C4445879-21B9-9DBA-2EE8-3C0E98E1B2E7}"/>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12706346" y="11212287"/>
              <a:ext cx="1828800" cy="1387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691237</xdr:colOff>
      <xdr:row>52</xdr:row>
      <xdr:rowOff>189139</xdr:rowOff>
    </xdr:from>
    <xdr:to>
      <xdr:col>10</xdr:col>
      <xdr:colOff>1159323</xdr:colOff>
      <xdr:row>66</xdr:row>
      <xdr:rowOff>46264</xdr:rowOff>
    </xdr:to>
    <mc:AlternateContent xmlns:mc="http://schemas.openxmlformats.org/markup-compatibility/2006" xmlns:a14="http://schemas.microsoft.com/office/drawing/2010/main">
      <mc:Choice Requires="a14">
        <xdr:graphicFrame macro="">
          <xdr:nvGraphicFramePr>
            <xdr:cNvPr id="18" name="Country">
              <a:extLst>
                <a:ext uri="{FF2B5EF4-FFF2-40B4-BE49-F238E27FC236}">
                  <a16:creationId xmlns:a16="http://schemas.microsoft.com/office/drawing/2014/main" id="{2525C402-9BC6-5EC8-E13D-82E978864904}"/>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570523" y="1009513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1194707</xdr:colOff>
      <xdr:row>52</xdr:row>
      <xdr:rowOff>175532</xdr:rowOff>
    </xdr:from>
    <xdr:to>
      <xdr:col>12</xdr:col>
      <xdr:colOff>302078</xdr:colOff>
      <xdr:row>66</xdr:row>
      <xdr:rowOff>32657</xdr:rowOff>
    </xdr:to>
    <mc:AlternateContent xmlns:mc="http://schemas.openxmlformats.org/markup-compatibility/2006" xmlns:a14="http://schemas.microsoft.com/office/drawing/2010/main">
      <mc:Choice Requires="a14">
        <xdr:graphicFrame macro="">
          <xdr:nvGraphicFramePr>
            <xdr:cNvPr id="19" name="Sales_Channel">
              <a:extLst>
                <a:ext uri="{FF2B5EF4-FFF2-40B4-BE49-F238E27FC236}">
                  <a16:creationId xmlns:a16="http://schemas.microsoft.com/office/drawing/2014/main" id="{DD535BB6-9485-A718-01DA-AE760E8F953C}"/>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16434707" y="1008153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5.739581018519" createdVersion="8" refreshedVersion="8" minRefreshableVersion="3" recordCount="500" xr:uid="{16B874AA-97DD-410F-BA04-154994419F2E}">
  <cacheSource type="worksheet">
    <worksheetSource name="Table1"/>
  </cacheSource>
  <cacheFields count="21">
    <cacheField name="Order_ID" numFmtId="0">
      <sharedItems/>
    </cacheField>
    <cacheField name="Order_Date" numFmtId="164">
      <sharedItems containsSemiMixedTypes="0" containsNonDate="0" containsDate="1" containsString="0" minDate="2024-01-02T00:00:00" maxDate="2025-06-25T00:00:00" count="333">
        <d v="2025-01-02T00:00:00"/>
        <d v="2024-06-08T00:00:00"/>
        <d v="2024-07-20T00:00:00"/>
        <d v="2024-12-25T00:00:00"/>
        <d v="2024-04-22T00:00:00"/>
        <d v="2024-12-29T00:00:00"/>
        <d v="2024-06-19T00:00:00"/>
        <d v="2025-03-08T00:00:00"/>
        <d v="2024-12-09T00:00:00"/>
        <d v="2025-03-24T00:00:00"/>
        <d v="2024-03-26T00:00:00"/>
        <d v="2024-04-11T00:00:00"/>
        <d v="2024-10-04T00:00:00"/>
        <d v="2024-08-18T00:00:00"/>
        <d v="2025-03-14T00:00:00"/>
        <d v="2025-02-22T00:00:00"/>
        <d v="2024-05-28T00:00:00"/>
        <d v="2024-01-25T00:00:00"/>
        <d v="2024-08-05T00:00:00"/>
        <d v="2025-01-24T00:00:00"/>
        <d v="2024-01-21T00:00:00"/>
        <d v="2025-04-29T00:00:00"/>
        <d v="2024-10-10T00:00:00"/>
        <d v="2024-01-17T00:00:00"/>
        <d v="2024-05-22T00:00:00"/>
        <d v="2024-08-03T00:00:00"/>
        <d v="2024-10-28T00:00:00"/>
        <d v="2024-08-02T00:00:00"/>
        <d v="2024-09-23T00:00:00"/>
        <d v="2024-11-14T00:00:00"/>
        <d v="2024-05-06T00:00:00"/>
        <d v="2024-12-08T00:00:00"/>
        <d v="2024-04-29T00:00:00"/>
        <d v="2025-05-22T00:00:00"/>
        <d v="2025-03-07T00:00:00"/>
        <d v="2024-11-10T00:00:00"/>
        <d v="2024-02-21T00:00:00"/>
        <d v="2024-03-24T00:00:00"/>
        <d v="2024-07-28T00:00:00"/>
        <d v="2024-04-15T00:00:00"/>
        <d v="2024-01-30T00:00:00"/>
        <d v="2024-12-17T00:00:00"/>
        <d v="2024-04-05T00:00:00"/>
        <d v="2024-03-17T00:00:00"/>
        <d v="2025-05-25T00:00:00"/>
        <d v="2024-05-05T00:00:00"/>
        <d v="2024-09-27T00:00:00"/>
        <d v="2025-06-15T00:00:00"/>
        <d v="2025-02-04T00:00:00"/>
        <d v="2024-03-19T00:00:00"/>
        <d v="2024-08-11T00:00:00"/>
        <d v="2025-04-02T00:00:00"/>
        <d v="2024-07-23T00:00:00"/>
        <d v="2024-11-17T00:00:00"/>
        <d v="2024-07-10T00:00:00"/>
        <d v="2024-08-09T00:00:00"/>
        <d v="2025-04-16T00:00:00"/>
        <d v="2024-03-30T00:00:00"/>
        <d v="2024-06-14T00:00:00"/>
        <d v="2025-03-01T00:00:00"/>
        <d v="2025-05-24T00:00:00"/>
        <d v="2024-12-16T00:00:00"/>
        <d v="2024-07-04T00:00:00"/>
        <d v="2025-05-09T00:00:00"/>
        <d v="2024-06-21T00:00:00"/>
        <d v="2024-09-11T00:00:00"/>
        <d v="2024-05-07T00:00:00"/>
        <d v="2024-10-13T00:00:00"/>
        <d v="2025-03-09T00:00:00"/>
        <d v="2025-04-18T00:00:00"/>
        <d v="2024-06-02T00:00:00"/>
        <d v="2025-02-08T00:00:00"/>
        <d v="2024-04-09T00:00:00"/>
        <d v="2024-05-04T00:00:00"/>
        <d v="2025-03-29T00:00:00"/>
        <d v="2024-01-13T00:00:00"/>
        <d v="2024-11-19T00:00:00"/>
        <d v="2024-03-01T00:00:00"/>
        <d v="2024-07-11T00:00:00"/>
        <d v="2024-01-27T00:00:00"/>
        <d v="2025-05-14T00:00:00"/>
        <d v="2024-08-07T00:00:00"/>
        <d v="2024-11-06T00:00:00"/>
        <d v="2025-04-15T00:00:00"/>
        <d v="2024-10-03T00:00:00"/>
        <d v="2025-05-13T00:00:00"/>
        <d v="2024-04-14T00:00:00"/>
        <d v="2024-07-03T00:00:00"/>
        <d v="2024-06-30T00:00:00"/>
        <d v="2024-06-26T00:00:00"/>
        <d v="2025-06-07T00:00:00"/>
        <d v="2024-11-03T00:00:00"/>
        <d v="2024-11-12T00:00:00"/>
        <d v="2024-12-13T00:00:00"/>
        <d v="2024-07-12T00:00:00"/>
        <d v="2024-04-01T00:00:00"/>
        <d v="2024-09-20T00:00:00"/>
        <d v="2024-01-22T00:00:00"/>
        <d v="2024-05-21T00:00:00"/>
        <d v="2025-04-25T00:00:00"/>
        <d v="2024-08-13T00:00:00"/>
        <d v="2024-06-13T00:00:00"/>
        <d v="2024-09-21T00:00:00"/>
        <d v="2025-04-01T00:00:00"/>
        <d v="2025-04-17T00:00:00"/>
        <d v="2024-05-17T00:00:00"/>
        <d v="2024-03-22T00:00:00"/>
        <d v="2024-05-24T00:00:00"/>
        <d v="2024-05-12T00:00:00"/>
        <d v="2025-04-26T00:00:00"/>
        <d v="2025-03-19T00:00:00"/>
        <d v="2025-02-05T00:00:00"/>
        <d v="2024-03-05T00:00:00"/>
        <d v="2024-09-16T00:00:00"/>
        <d v="2024-03-02T00:00:00"/>
        <d v="2024-04-21T00:00:00"/>
        <d v="2025-05-15T00:00:00"/>
        <d v="2025-02-15T00:00:00"/>
        <d v="2025-02-18T00:00:00"/>
        <d v="2025-04-10T00:00:00"/>
        <d v="2024-10-01T00:00:00"/>
        <d v="2025-04-24T00:00:00"/>
        <d v="2025-03-25T00:00:00"/>
        <d v="2024-12-12T00:00:00"/>
        <d v="2024-06-25T00:00:00"/>
        <d v="2024-07-08T00:00:00"/>
        <d v="2024-01-15T00:00:00"/>
        <d v="2024-05-30T00:00:00"/>
        <d v="2025-02-25T00:00:00"/>
        <d v="2024-02-16T00:00:00"/>
        <d v="2025-02-07T00:00:00"/>
        <d v="2025-03-10T00:00:00"/>
        <d v="2024-06-03T00:00:00"/>
        <d v="2024-07-24T00:00:00"/>
        <d v="2024-04-24T00:00:00"/>
        <d v="2024-07-16T00:00:00"/>
        <d v="2024-12-31T00:00:00"/>
        <d v="2025-02-10T00:00:00"/>
        <d v="2024-06-29T00:00:00"/>
        <d v="2024-06-09T00:00:00"/>
        <d v="2024-10-17T00:00:00"/>
        <d v="2024-01-04T00:00:00"/>
        <d v="2024-10-30T00:00:00"/>
        <d v="2025-03-28T00:00:00"/>
        <d v="2024-08-24T00:00:00"/>
        <d v="2025-05-02T00:00:00"/>
        <d v="2024-02-11T00:00:00"/>
        <d v="2024-01-05T00:00:00"/>
        <d v="2024-02-20T00:00:00"/>
        <d v="2024-04-02T00:00:00"/>
        <d v="2025-05-10T00:00:00"/>
        <d v="2024-11-16T00:00:00"/>
        <d v="2024-03-27T00:00:00"/>
        <d v="2024-10-27T00:00:00"/>
        <d v="2024-01-19T00:00:00"/>
        <d v="2024-09-29T00:00:00"/>
        <d v="2024-03-04T00:00:00"/>
        <d v="2025-01-10T00:00:00"/>
        <d v="2024-09-13T00:00:00"/>
        <d v="2024-12-24T00:00:00"/>
        <d v="2024-08-25T00:00:00"/>
        <d v="2024-08-01T00:00:00"/>
        <d v="2025-04-30T00:00:00"/>
        <d v="2024-03-06T00:00:00"/>
        <d v="2025-06-08T00:00:00"/>
        <d v="2024-09-12T00:00:00"/>
        <d v="2024-01-11T00:00:00"/>
        <d v="2025-01-07T00:00:00"/>
        <d v="2024-06-27T00:00:00"/>
        <d v="2025-01-22T00:00:00"/>
        <d v="2024-08-21T00:00:00"/>
        <d v="2024-06-20T00:00:00"/>
        <d v="2025-02-20T00:00:00"/>
        <d v="2024-09-05T00:00:00"/>
        <d v="2025-05-12T00:00:00"/>
        <d v="2024-03-16T00:00:00"/>
        <d v="2025-03-22T00:00:00"/>
        <d v="2024-02-05T00:00:00"/>
        <d v="2024-12-01T00:00:00"/>
        <d v="2024-09-28T00:00:00"/>
        <d v="2025-01-28T00:00:00"/>
        <d v="2024-02-09T00:00:00"/>
        <d v="2025-04-22T00:00:00"/>
        <d v="2025-06-24T00:00:00"/>
        <d v="2024-11-08T00:00:00"/>
        <d v="2024-04-20T00:00:00"/>
        <d v="2024-03-28T00:00:00"/>
        <d v="2025-06-11T00:00:00"/>
        <d v="2025-05-26T00:00:00"/>
        <d v="2024-07-05T00:00:00"/>
        <d v="2025-06-06T00:00:00"/>
        <d v="2024-03-08T00:00:00"/>
        <d v="2025-06-12T00:00:00"/>
        <d v="2024-07-27T00:00:00"/>
        <d v="2024-11-22T00:00:00"/>
        <d v="2024-01-14T00:00:00"/>
        <d v="2024-01-26T00:00:00"/>
        <d v="2024-03-29T00:00:00"/>
        <d v="2025-06-05T00:00:00"/>
        <d v="2024-12-03T00:00:00"/>
        <d v="2025-06-10T00:00:00"/>
        <d v="2025-05-23T00:00:00"/>
        <d v="2024-04-10T00:00:00"/>
        <d v="2025-05-08T00:00:00"/>
        <d v="2024-11-26T00:00:00"/>
        <d v="2024-11-15T00:00:00"/>
        <d v="2025-01-31T00:00:00"/>
        <d v="2024-07-19T00:00:00"/>
        <d v="2025-02-11T00:00:00"/>
        <d v="2024-09-26T00:00:00"/>
        <d v="2024-11-02T00:00:00"/>
        <d v="2025-01-30T00:00:00"/>
        <d v="2024-06-07T00:00:00"/>
        <d v="2025-04-09T00:00:00"/>
        <d v="2024-04-27T00:00:00"/>
        <d v="2024-02-10T00:00:00"/>
        <d v="2024-06-28T00:00:00"/>
        <d v="2024-09-17T00:00:00"/>
        <d v="2024-01-07T00:00:00"/>
        <d v="2024-08-31T00:00:00"/>
        <d v="2024-04-17T00:00:00"/>
        <d v="2024-09-08T00:00:00"/>
        <d v="2024-07-06T00:00:00"/>
        <d v="2025-05-19T00:00:00"/>
        <d v="2025-01-27T00:00:00"/>
        <d v="2024-11-24T00:00:00"/>
        <d v="2024-11-23T00:00:00"/>
        <d v="2024-12-20T00:00:00"/>
        <d v="2024-07-14T00:00:00"/>
        <d v="2025-05-17T00:00:00"/>
        <d v="2024-04-18T00:00:00"/>
        <d v="2024-10-12T00:00:00"/>
        <d v="2024-04-26T00:00:00"/>
        <d v="2024-07-01T00:00:00"/>
        <d v="2024-03-18T00:00:00"/>
        <d v="2025-01-04T00:00:00"/>
        <d v="2024-06-11T00:00:00"/>
        <d v="2025-03-21T00:00:00"/>
        <d v="2024-12-10T00:00:00"/>
        <d v="2025-05-01T00:00:00"/>
        <d v="2025-01-14T00:00:00"/>
        <d v="2025-06-04T00:00:00"/>
        <d v="2025-05-03T00:00:00"/>
        <d v="2024-10-31T00:00:00"/>
        <d v="2024-12-02T00:00:00"/>
        <d v="2025-03-15T00:00:00"/>
        <d v="2024-08-23T00:00:00"/>
        <d v="2024-06-10T00:00:00"/>
        <d v="2024-06-05T00:00:00"/>
        <d v="2024-02-26T00:00:00"/>
        <d v="2025-06-01T00:00:00"/>
        <d v="2024-10-24T00:00:00"/>
        <d v="2024-01-02T00:00:00"/>
        <d v="2024-12-15T00:00:00"/>
        <d v="2024-01-28T00:00:00"/>
        <d v="2024-07-17T00:00:00"/>
        <d v="2024-09-19T00:00:00"/>
        <d v="2024-02-15T00:00:00"/>
        <d v="2024-08-12T00:00:00"/>
        <d v="2024-05-14T00:00:00"/>
        <d v="2024-06-12T00:00:00"/>
        <d v="2024-10-20T00:00:00"/>
        <d v="2025-02-24T00:00:00"/>
        <d v="2024-03-03T00:00:00"/>
        <d v="2024-12-14T00:00:00"/>
        <d v="2025-05-29T00:00:00"/>
        <d v="2025-03-06T00:00:00"/>
        <d v="2024-10-09T00:00:00"/>
        <d v="2025-06-14T00:00:00"/>
        <d v="2024-04-04T00:00:00"/>
        <d v="2025-06-18T00:00:00"/>
        <d v="2024-03-13T00:00:00"/>
        <d v="2024-01-29T00:00:00"/>
        <d v="2024-04-06T00:00:00"/>
        <d v="2024-06-17T00:00:00"/>
        <d v="2025-05-11T00:00:00"/>
        <d v="2025-01-19T00:00:00"/>
        <d v="2024-06-18T00:00:00"/>
        <d v="2024-07-26T00:00:00"/>
        <d v="2024-10-02T00:00:00"/>
        <d v="2024-07-15T00:00:00"/>
        <d v="2025-02-06T00:00:00"/>
        <d v="2025-04-05T00:00:00"/>
        <d v="2024-08-15T00:00:00"/>
        <d v="2025-04-06T00:00:00"/>
        <d v="2024-07-18T00:00:00"/>
        <d v="2024-11-21T00:00:00"/>
        <d v="2024-06-01T00:00:00"/>
        <d v="2024-12-19T00:00:00"/>
        <d v="2024-12-26T00:00:00"/>
        <d v="2024-12-06T00:00:00"/>
        <d v="2024-06-15T00:00:00"/>
        <d v="2024-10-14T00:00:00"/>
        <d v="2025-03-12T00:00:00"/>
        <d v="2024-02-07T00:00:00"/>
        <d v="2025-01-18T00:00:00"/>
        <d v="2024-10-15T00:00:00"/>
        <d v="2024-02-12T00:00:00"/>
        <d v="2024-02-04T00:00:00"/>
        <d v="2025-04-03T00:00:00"/>
        <d v="2024-02-06T00:00:00"/>
        <d v="2024-09-09T00:00:00"/>
        <d v="2024-03-31T00:00:00"/>
        <d v="2025-04-20T00:00:00"/>
        <d v="2025-04-07T00:00:00"/>
        <d v="2024-09-18T00:00:00"/>
        <d v="2024-05-10T00:00:00"/>
        <d v="2024-11-30T00:00:00"/>
        <d v="2024-06-16T00:00:00"/>
        <d v="2024-11-27T00:00:00"/>
        <d v="2024-10-21T00:00:00"/>
        <d v="2025-01-05T00:00:00"/>
        <d v="2024-02-27T00:00:00"/>
        <d v="2024-02-28T00:00:00"/>
        <d v="2025-02-02T00:00:00"/>
        <d v="2024-07-13T00:00:00"/>
        <d v="2024-05-03T00:00:00"/>
        <d v="2024-02-25T00:00:00"/>
        <d v="2024-04-07T00:00:00"/>
        <d v="2024-11-04T00:00:00"/>
        <d v="2024-03-25T00:00:00"/>
        <d v="2025-06-16T00:00:00"/>
        <d v="2024-12-27T00:00:00"/>
        <d v="2024-08-16T00:00:00"/>
        <d v="2024-10-25T00:00:00"/>
        <d v="2025-03-04T00:00:00"/>
        <d v="2025-06-17T00:00:00"/>
        <d v="2024-08-30T00:00:00"/>
        <d v="2024-05-16T00:00:00"/>
        <d v="2024-04-28T00:00:00"/>
        <d v="2025-04-23T00:00:00"/>
        <d v="2024-09-01T00:00:00"/>
        <d v="2025-04-04T00:00:00"/>
      </sharedItems>
      <fieldGroup par="20"/>
    </cacheField>
    <cacheField name="Product_ID" numFmtId="0">
      <sharedItems/>
    </cacheField>
    <cacheField name="Product_Name" numFmtId="0">
      <sharedItems count="17">
        <s v="Sunscreen Spf50"/>
        <s v="Hydrating Cream"/>
        <s v="Acne Cleanser"/>
        <s v="Vitamin C Serum"/>
        <s v="Toner"/>
        <s v="Body Scrub"/>
        <s v="Lip Balm"/>
        <s v="Night Cream"/>
        <s v="Niacinamide Serum"/>
        <s v="Face Wash"/>
        <s v="Deep Clean Cleanser"/>
        <s v="Lip Scrub"/>
        <s v="Retinol Serum"/>
        <s v="Hyaluronic Acid Serum"/>
        <s v="Face Cream"/>
        <s v="Sunscreen Spf30"/>
        <s v="Face Mask"/>
      </sharedItems>
    </cacheField>
    <cacheField name="Category" numFmtId="0">
      <sharedItems count="5">
        <s v="Protection"/>
        <s v="Moisturizer"/>
        <s v="Cleanser"/>
        <s v="Serum"/>
        <s v="Other"/>
      </sharedItems>
    </cacheField>
    <cacheField name="Brand" numFmtId="0">
      <sharedItems/>
    </cacheField>
    <cacheField name="Gender" numFmtId="0">
      <sharedItems count="2">
        <s v="Male"/>
        <s v="Female"/>
      </sharedItems>
    </cacheField>
    <cacheField name="Age_Group" numFmtId="0">
      <sharedItems count="3">
        <s v="Teen"/>
        <s v="Young Adult"/>
        <s v="Adult"/>
      </sharedItems>
    </cacheField>
    <cacheField name="Country" numFmtId="0">
      <sharedItems count="4">
        <s v="Kenya"/>
        <s v="Nigeria"/>
        <s v="Ghana"/>
        <s v="South Africa"/>
      </sharedItems>
    </cacheField>
    <cacheField name="Sales_Channel" numFmtId="0">
      <sharedItems count="4">
        <s v="Instagram"/>
        <s v="WhatsApp"/>
        <s v="Website"/>
        <s v="Retail"/>
      </sharedItems>
    </cacheField>
    <cacheField name="Quantity_Sold" numFmtId="0">
      <sharedItems containsSemiMixedTypes="0" containsString="0" containsNumber="1" containsInteger="1" minValue="1" maxValue="8"/>
    </cacheField>
    <cacheField name="Cost_Price" numFmtId="165">
      <sharedItems containsSemiMixedTypes="0" containsString="0" containsNumber="1" containsInteger="1" minValue="1007" maxValue="14997"/>
    </cacheField>
    <cacheField name="Total_Cost_Price" numFmtId="165">
      <sharedItems containsSemiMixedTypes="0" containsString="0" containsNumber="1" containsInteger="1" minValue="1481" maxValue="116456"/>
    </cacheField>
    <cacheField name="Selling_Price" numFmtId="165">
      <sharedItems containsSemiMixedTypes="0" containsString="0" containsNumber="1" containsInteger="1" minValue="2683" maxValue="22423"/>
    </cacheField>
    <cacheField name="Discount_Percent" numFmtId="9">
      <sharedItems containsSemiMixedTypes="0" containsString="0" containsNumber="1" minValue="0" maxValue="0.1"/>
    </cacheField>
    <cacheField name="Revenue" numFmtId="165">
      <sharedItems containsSemiMixedTypes="0" containsString="0" containsNumber="1" containsInteger="1" minValue="3480" maxValue="174624"/>
    </cacheField>
    <cacheField name="Profit" numFmtId="165">
      <sharedItems containsSemiMixedTypes="0" containsString="0" containsNumber="1" containsInteger="1" minValue="537" maxValue="63928"/>
    </cacheField>
    <cacheField name="Rating" numFmtId="0">
      <sharedItems containsMixedTypes="1" containsNumber="1" containsInteger="1" minValue="1" maxValue="5"/>
    </cacheField>
    <cacheField name="Months (Order_Date)" numFmtId="0" databaseField="0">
      <fieldGroup base="1">
        <rangePr groupBy="months" startDate="2024-01-02T00:00:00" endDate="2025-06-25T00:00:00"/>
        <groupItems count="14">
          <s v="&lt;1/2/2024"/>
          <s v="Jan"/>
          <s v="Feb"/>
          <s v="Mar"/>
          <s v="Apr"/>
          <s v="May"/>
          <s v="Jun"/>
          <s v="Jul"/>
          <s v="Aug"/>
          <s v="Sep"/>
          <s v="Oct"/>
          <s v="Nov"/>
          <s v="Dec"/>
          <s v="&gt;6/25/2025"/>
        </groupItems>
      </fieldGroup>
    </cacheField>
    <cacheField name="Quarters (Order_Date)" numFmtId="0" databaseField="0">
      <fieldGroup base="1">
        <rangePr groupBy="quarters" startDate="2024-01-02T00:00:00" endDate="2025-06-25T00:00:00"/>
        <groupItems count="6">
          <s v="&lt;1/2/2024"/>
          <s v="Qtr1"/>
          <s v="Qtr2"/>
          <s v="Qtr3"/>
          <s v="Qtr4"/>
          <s v="&gt;6/25/2025"/>
        </groupItems>
      </fieldGroup>
    </cacheField>
    <cacheField name="Years (Order_Date)" numFmtId="0" databaseField="0">
      <fieldGroup base="1">
        <rangePr groupBy="years" startDate="2024-01-02T00:00:00" endDate="2025-06-25T00:00:00"/>
        <groupItems count="4">
          <s v="&lt;1/2/2024"/>
          <s v="2024"/>
          <s v="2025"/>
          <s v="&gt;6/25/2025"/>
        </groupItems>
      </fieldGroup>
    </cacheField>
  </cacheFields>
  <extLst>
    <ext xmlns:x14="http://schemas.microsoft.com/office/spreadsheetml/2009/9/main" uri="{725AE2AE-9491-48be-B2B4-4EB974FC3084}">
      <x14:pivotCacheDefinition pivotCacheId="17067051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x v="0"/>
    <s v="P012"/>
    <x v="0"/>
    <x v="0"/>
    <s v="GlowBeauty"/>
    <x v="0"/>
    <x v="0"/>
    <x v="0"/>
    <x v="0"/>
    <n v="2"/>
    <n v="10089"/>
    <n v="20178"/>
    <n v="12140"/>
    <n v="0.02"/>
    <n v="24280"/>
    <n v="4102"/>
    <n v="2"/>
  </r>
  <r>
    <s v="ORD1002"/>
    <x v="1"/>
    <s v="P010"/>
    <x v="1"/>
    <x v="1"/>
    <s v="N/A"/>
    <x v="0"/>
    <x v="1"/>
    <x v="0"/>
    <x v="1"/>
    <n v="4"/>
    <n v="13311"/>
    <n v="53244"/>
    <n v="17701"/>
    <n v="0.04"/>
    <n v="70804"/>
    <n v="17560"/>
    <n v="3"/>
  </r>
  <r>
    <s v="ORD1003"/>
    <x v="2"/>
    <s v="P008"/>
    <x v="2"/>
    <x v="2"/>
    <s v="PureSkin"/>
    <x v="1"/>
    <x v="2"/>
    <x v="1"/>
    <x v="0"/>
    <n v="7"/>
    <n v="3840"/>
    <n v="26880"/>
    <n v="9112"/>
    <n v="0.1"/>
    <n v="63784"/>
    <n v="36904"/>
    <n v="4"/>
  </r>
  <r>
    <s v="ORD1004"/>
    <x v="3"/>
    <s v="P002"/>
    <x v="3"/>
    <x v="3"/>
    <s v="GlowBeauty"/>
    <x v="1"/>
    <x v="0"/>
    <x v="1"/>
    <x v="2"/>
    <n v="7"/>
    <n v="8462"/>
    <n v="59234"/>
    <n v="11456"/>
    <n v="0"/>
    <n v="80192"/>
    <n v="20958"/>
    <n v="4"/>
  </r>
  <r>
    <s v="ORD1005"/>
    <x v="4"/>
    <s v="P012"/>
    <x v="0"/>
    <x v="0"/>
    <s v="GlowBeauty"/>
    <x v="0"/>
    <x v="1"/>
    <x v="2"/>
    <x v="3"/>
    <n v="2"/>
    <n v="14499"/>
    <n v="28998"/>
    <n v="15533"/>
    <n v="0.04"/>
    <n v="31066"/>
    <n v="2068"/>
    <n v="4"/>
  </r>
  <r>
    <s v="ORD1006"/>
    <x v="5"/>
    <s v="P014"/>
    <x v="4"/>
    <x v="4"/>
    <s v="GlowBeauty"/>
    <x v="0"/>
    <x v="1"/>
    <x v="1"/>
    <x v="0"/>
    <n v="8"/>
    <n v="6459"/>
    <n v="51672"/>
    <n v="11182"/>
    <n v="0.04"/>
    <n v="89456"/>
    <n v="37784"/>
    <n v="4"/>
  </r>
  <r>
    <s v="ORD1007"/>
    <x v="6"/>
    <s v="P012"/>
    <x v="0"/>
    <x v="0"/>
    <s v="PureSkin"/>
    <x v="0"/>
    <x v="0"/>
    <x v="2"/>
    <x v="3"/>
    <n v="2"/>
    <n v="7078"/>
    <n v="14156"/>
    <n v="11343"/>
    <n v="0.04"/>
    <n v="22686"/>
    <n v="8530"/>
    <s v="N/A"/>
  </r>
  <r>
    <s v="ORD1008"/>
    <x v="7"/>
    <s v="P015"/>
    <x v="5"/>
    <x v="4"/>
    <s v=" glowbeauty "/>
    <x v="1"/>
    <x v="2"/>
    <x v="1"/>
    <x v="2"/>
    <n v="3"/>
    <n v="14972"/>
    <n v="44916"/>
    <n v="19467"/>
    <n v="0.04"/>
    <n v="58401"/>
    <n v="13485"/>
    <n v="5"/>
  </r>
  <r>
    <s v="ORD1009"/>
    <x v="3"/>
    <s v="P017"/>
    <x v="6"/>
    <x v="4"/>
    <s v="GlowBeauty"/>
    <x v="1"/>
    <x v="2"/>
    <x v="1"/>
    <x v="0"/>
    <n v="4"/>
    <n v="6626"/>
    <n v="26504"/>
    <n v="14222"/>
    <n v="0.02"/>
    <n v="56888"/>
    <n v="30384"/>
    <n v="2"/>
  </r>
  <r>
    <s v="ORD1010"/>
    <x v="8"/>
    <s v="P001"/>
    <x v="3"/>
    <x v="3"/>
    <s v="GlowBeauty"/>
    <x v="1"/>
    <x v="2"/>
    <x v="1"/>
    <x v="1"/>
    <n v="2"/>
    <n v="8180"/>
    <n v="16360"/>
    <n v="13636"/>
    <n v="0.1"/>
    <n v="27272"/>
    <n v="10912"/>
    <n v="2"/>
  </r>
  <r>
    <s v="ORD1011"/>
    <x v="9"/>
    <s v="P011"/>
    <x v="7"/>
    <x v="1"/>
    <s v="PureSkin"/>
    <x v="0"/>
    <x v="1"/>
    <x v="1"/>
    <x v="1"/>
    <n v="8"/>
    <n v="5153"/>
    <n v="41224"/>
    <n v="10367"/>
    <n v="0.1"/>
    <n v="82936"/>
    <n v="41712"/>
    <n v="4"/>
  </r>
  <r>
    <s v="ORD1012"/>
    <x v="10"/>
    <s v="P012"/>
    <x v="0"/>
    <x v="0"/>
    <s v="SkinLab"/>
    <x v="0"/>
    <x v="2"/>
    <x v="2"/>
    <x v="2"/>
    <n v="4"/>
    <n v="8734"/>
    <n v="34936"/>
    <n v="11969"/>
    <n v="0.02"/>
    <n v="47876"/>
    <n v="12940"/>
    <n v="3"/>
  </r>
  <r>
    <s v="ORD1013"/>
    <x v="11"/>
    <s v="P004"/>
    <x v="8"/>
    <x v="3"/>
    <s v="DermaCare"/>
    <x v="1"/>
    <x v="0"/>
    <x v="1"/>
    <x v="3"/>
    <n v="7"/>
    <n v="12972"/>
    <n v="90804"/>
    <n v="19485"/>
    <n v="0.1"/>
    <n v="136395"/>
    <n v="45591"/>
    <n v="5"/>
  </r>
  <r>
    <s v="ORD1014"/>
    <x v="12"/>
    <s v="P010"/>
    <x v="1"/>
    <x v="1"/>
    <s v="PureSkin"/>
    <x v="1"/>
    <x v="0"/>
    <x v="1"/>
    <x v="3"/>
    <n v="5"/>
    <n v="13456"/>
    <n v="67280"/>
    <n v="15503"/>
    <n v="0.1"/>
    <n v="77515"/>
    <n v="10235"/>
    <n v="5"/>
  </r>
  <r>
    <s v="ORD1015"/>
    <x v="13"/>
    <s v="P006"/>
    <x v="9"/>
    <x v="2"/>
    <s v="SkinLab"/>
    <x v="0"/>
    <x v="2"/>
    <x v="1"/>
    <x v="0"/>
    <n v="1"/>
    <n v="11846"/>
    <n v="11846"/>
    <n v="18129"/>
    <n v="0.04"/>
    <n v="18129"/>
    <n v="6283"/>
    <n v="3"/>
  </r>
  <r>
    <s v="ORD1016"/>
    <x v="14"/>
    <s v="P014"/>
    <x v="4"/>
    <x v="4"/>
    <s v="N/A"/>
    <x v="0"/>
    <x v="1"/>
    <x v="0"/>
    <x v="2"/>
    <n v="4"/>
    <n v="8422"/>
    <n v="33688"/>
    <n v="9879"/>
    <n v="0.02"/>
    <n v="39516"/>
    <n v="5828"/>
    <n v="5"/>
  </r>
  <r>
    <s v="ORD1017"/>
    <x v="15"/>
    <s v="P014"/>
    <x v="4"/>
    <x v="4"/>
    <s v="GlowBeauty"/>
    <x v="1"/>
    <x v="0"/>
    <x v="2"/>
    <x v="2"/>
    <n v="2"/>
    <n v="6301"/>
    <n v="12602"/>
    <n v="11672"/>
    <n v="0.05"/>
    <n v="23344"/>
    <n v="10742"/>
    <n v="5"/>
  </r>
  <r>
    <s v="ORD1018"/>
    <x v="16"/>
    <s v="P007"/>
    <x v="10"/>
    <x v="2"/>
    <s v="GlowBeauty"/>
    <x v="1"/>
    <x v="1"/>
    <x v="3"/>
    <x v="1"/>
    <n v="3"/>
    <n v="2328"/>
    <n v="6984"/>
    <n v="8312"/>
    <n v="0.04"/>
    <n v="24936"/>
    <n v="17952"/>
    <n v="2"/>
  </r>
  <r>
    <s v="ORD1019"/>
    <x v="17"/>
    <s v="P007"/>
    <x v="10"/>
    <x v="2"/>
    <s v="DermaCare"/>
    <x v="1"/>
    <x v="0"/>
    <x v="0"/>
    <x v="0"/>
    <n v="4"/>
    <n v="14129"/>
    <n v="56516"/>
    <n v="20076"/>
    <n v="0.02"/>
    <n v="80304"/>
    <n v="23788"/>
    <n v="4"/>
  </r>
  <r>
    <s v="ORD1020"/>
    <x v="18"/>
    <s v="P012"/>
    <x v="0"/>
    <x v="0"/>
    <s v="DermaCare"/>
    <x v="0"/>
    <x v="2"/>
    <x v="2"/>
    <x v="0"/>
    <n v="4"/>
    <n v="9490"/>
    <n v="37960"/>
    <n v="15157"/>
    <n v="0.1"/>
    <n v="60628"/>
    <n v="22668"/>
    <n v="1"/>
  </r>
  <r>
    <s v="ORD1021"/>
    <x v="19"/>
    <s v="P012"/>
    <x v="0"/>
    <x v="0"/>
    <s v="SkinLab"/>
    <x v="1"/>
    <x v="2"/>
    <x v="1"/>
    <x v="2"/>
    <n v="8"/>
    <n v="7273"/>
    <n v="58184"/>
    <n v="9493"/>
    <n v="0.04"/>
    <n v="75944"/>
    <n v="17760"/>
    <n v="2"/>
  </r>
  <r>
    <s v="ORD1022"/>
    <x v="20"/>
    <s v="P018"/>
    <x v="11"/>
    <x v="4"/>
    <s v=" glowbeauty "/>
    <x v="0"/>
    <x v="0"/>
    <x v="0"/>
    <x v="0"/>
    <n v="6"/>
    <n v="1818"/>
    <n v="10908"/>
    <n v="2683"/>
    <n v="0.02"/>
    <n v="16098"/>
    <n v="5190"/>
    <n v="3"/>
  </r>
  <r>
    <s v="ORD1023"/>
    <x v="21"/>
    <s v="P004"/>
    <x v="8"/>
    <x v="3"/>
    <s v="SkinLab"/>
    <x v="0"/>
    <x v="0"/>
    <x v="1"/>
    <x v="2"/>
    <n v="1"/>
    <n v="10294"/>
    <n v="10294"/>
    <n v="14993"/>
    <n v="0.04"/>
    <n v="14993"/>
    <n v="4699"/>
    <n v="5"/>
  </r>
  <r>
    <s v="ORD1024"/>
    <x v="22"/>
    <s v="P002"/>
    <x v="3"/>
    <x v="3"/>
    <s v="N/A"/>
    <x v="1"/>
    <x v="0"/>
    <x v="1"/>
    <x v="1"/>
    <n v="3"/>
    <n v="14088"/>
    <n v="42264"/>
    <n v="19941"/>
    <n v="0.1"/>
    <n v="59823"/>
    <n v="17559"/>
    <s v="N/A"/>
  </r>
  <r>
    <s v="ORD1025"/>
    <x v="23"/>
    <s v="P005"/>
    <x v="12"/>
    <x v="3"/>
    <s v="DermaCare"/>
    <x v="0"/>
    <x v="2"/>
    <x v="1"/>
    <x v="0"/>
    <n v="6"/>
    <n v="14958"/>
    <n v="89748"/>
    <n v="16291"/>
    <n v="0.1"/>
    <n v="97746"/>
    <n v="7998"/>
    <n v="2"/>
  </r>
  <r>
    <s v="ORD1026"/>
    <x v="24"/>
    <s v="P017"/>
    <x v="6"/>
    <x v="4"/>
    <s v="GlowBeauty"/>
    <x v="1"/>
    <x v="2"/>
    <x v="1"/>
    <x v="2"/>
    <n v="2"/>
    <n v="1514"/>
    <n v="3028"/>
    <n v="9203"/>
    <n v="0.1"/>
    <n v="18406"/>
    <n v="15378"/>
    <n v="4"/>
  </r>
  <r>
    <s v="ORD1027"/>
    <x v="25"/>
    <s v="P003"/>
    <x v="13"/>
    <x v="3"/>
    <s v="N/A"/>
    <x v="0"/>
    <x v="0"/>
    <x v="1"/>
    <x v="0"/>
    <n v="1"/>
    <n v="14004"/>
    <n v="14004"/>
    <n v="15696"/>
    <n v="0.04"/>
    <n v="15696"/>
    <n v="1692"/>
    <n v="4"/>
  </r>
  <r>
    <s v="ORD1028"/>
    <x v="26"/>
    <s v="P008"/>
    <x v="2"/>
    <x v="2"/>
    <s v=" glowbeauty "/>
    <x v="0"/>
    <x v="1"/>
    <x v="1"/>
    <x v="1"/>
    <n v="2"/>
    <n v="6906"/>
    <n v="13812"/>
    <n v="11708"/>
    <n v="0.05"/>
    <n v="23416"/>
    <n v="9604"/>
    <n v="1"/>
  </r>
  <r>
    <s v="ORD1029"/>
    <x v="27"/>
    <s v="P003"/>
    <x v="13"/>
    <x v="3"/>
    <s v="GlowBeauty"/>
    <x v="1"/>
    <x v="2"/>
    <x v="1"/>
    <x v="3"/>
    <n v="3"/>
    <n v="10224"/>
    <n v="30672"/>
    <n v="12730"/>
    <n v="0"/>
    <n v="38190"/>
    <n v="7518"/>
    <n v="3"/>
  </r>
  <r>
    <s v="ORD1030"/>
    <x v="28"/>
    <s v="P017"/>
    <x v="6"/>
    <x v="4"/>
    <s v="PureSkin"/>
    <x v="0"/>
    <x v="0"/>
    <x v="3"/>
    <x v="0"/>
    <n v="8"/>
    <n v="10339"/>
    <n v="82712"/>
    <n v="11559"/>
    <n v="0.04"/>
    <n v="92472"/>
    <n v="9760"/>
    <n v="5"/>
  </r>
  <r>
    <s v="ORD1031"/>
    <x v="29"/>
    <s v="P004"/>
    <x v="8"/>
    <x v="3"/>
    <s v="N/A"/>
    <x v="0"/>
    <x v="1"/>
    <x v="1"/>
    <x v="0"/>
    <n v="6"/>
    <n v="5400"/>
    <n v="32400"/>
    <n v="13318"/>
    <n v="0.05"/>
    <n v="79908"/>
    <n v="47508"/>
    <n v="3"/>
  </r>
  <r>
    <s v="ORD1032"/>
    <x v="30"/>
    <s v="P001"/>
    <x v="3"/>
    <x v="3"/>
    <s v="GlowBeauty"/>
    <x v="0"/>
    <x v="2"/>
    <x v="3"/>
    <x v="3"/>
    <n v="8"/>
    <n v="11327"/>
    <n v="90616"/>
    <n v="18223"/>
    <n v="0.05"/>
    <n v="145784"/>
    <n v="55168"/>
    <n v="1"/>
  </r>
  <r>
    <s v="ORD1033"/>
    <x v="31"/>
    <s v="P014"/>
    <x v="4"/>
    <x v="4"/>
    <s v="DermaCare"/>
    <x v="1"/>
    <x v="2"/>
    <x v="3"/>
    <x v="1"/>
    <n v="8"/>
    <n v="13977"/>
    <n v="111816"/>
    <n v="18293"/>
    <n v="0"/>
    <n v="146344"/>
    <n v="34528"/>
    <n v="1"/>
  </r>
  <r>
    <s v="ORD1034"/>
    <x v="32"/>
    <s v="P008"/>
    <x v="2"/>
    <x v="2"/>
    <s v="N/A"/>
    <x v="1"/>
    <x v="1"/>
    <x v="1"/>
    <x v="0"/>
    <n v="4"/>
    <n v="13112"/>
    <n v="52448"/>
    <n v="13922"/>
    <n v="0.02"/>
    <n v="55688"/>
    <n v="3240"/>
    <n v="4"/>
  </r>
  <r>
    <s v="ORD1035"/>
    <x v="33"/>
    <s v="P010"/>
    <x v="1"/>
    <x v="1"/>
    <s v="DermaCare"/>
    <x v="1"/>
    <x v="0"/>
    <x v="1"/>
    <x v="0"/>
    <n v="5"/>
    <n v="3653"/>
    <n v="18265"/>
    <n v="6965"/>
    <n v="0.05"/>
    <n v="34825"/>
    <n v="16560"/>
    <n v="4"/>
  </r>
  <r>
    <s v="ORD1036"/>
    <x v="34"/>
    <s v="P008"/>
    <x v="2"/>
    <x v="2"/>
    <s v="SkinLab"/>
    <x v="0"/>
    <x v="0"/>
    <x v="1"/>
    <x v="1"/>
    <n v="4"/>
    <n v="1463"/>
    <n v="5852"/>
    <n v="4907"/>
    <n v="0.02"/>
    <n v="19628"/>
    <n v="13776"/>
    <n v="2"/>
  </r>
  <r>
    <s v="ORD1037"/>
    <x v="35"/>
    <s v="P006"/>
    <x v="9"/>
    <x v="2"/>
    <s v="N/A"/>
    <x v="0"/>
    <x v="1"/>
    <x v="1"/>
    <x v="0"/>
    <n v="8"/>
    <n v="4947"/>
    <n v="39576"/>
    <n v="11572"/>
    <n v="0.04"/>
    <n v="92576"/>
    <n v="53000"/>
    <n v="2"/>
  </r>
  <r>
    <s v="ORD1038"/>
    <x v="36"/>
    <s v="P002"/>
    <x v="3"/>
    <x v="3"/>
    <s v="N/A"/>
    <x v="0"/>
    <x v="0"/>
    <x v="1"/>
    <x v="1"/>
    <n v="8"/>
    <n v="14145"/>
    <n v="113160"/>
    <n v="21828"/>
    <n v="0"/>
    <n v="174624"/>
    <n v="61464"/>
    <n v="3"/>
  </r>
  <r>
    <s v="ORD1039"/>
    <x v="37"/>
    <s v="P014"/>
    <x v="4"/>
    <x v="4"/>
    <s v=" glowbeauty "/>
    <x v="1"/>
    <x v="1"/>
    <x v="0"/>
    <x v="0"/>
    <n v="4"/>
    <n v="6665"/>
    <n v="26660"/>
    <n v="12111"/>
    <n v="0"/>
    <n v="48444"/>
    <n v="21784"/>
    <s v="N/A"/>
  </r>
  <r>
    <s v="ORD1040"/>
    <x v="38"/>
    <s v="P002"/>
    <x v="3"/>
    <x v="3"/>
    <s v="DermaCare"/>
    <x v="1"/>
    <x v="2"/>
    <x v="2"/>
    <x v="0"/>
    <n v="8"/>
    <n v="9303"/>
    <n v="74424"/>
    <n v="16713"/>
    <n v="0.05"/>
    <n v="133704"/>
    <n v="59280"/>
    <n v="5"/>
  </r>
  <r>
    <s v="ORD1041"/>
    <x v="39"/>
    <s v="P001"/>
    <x v="3"/>
    <x v="3"/>
    <s v="N/A"/>
    <x v="1"/>
    <x v="2"/>
    <x v="1"/>
    <x v="3"/>
    <n v="3"/>
    <n v="10239"/>
    <n v="30717"/>
    <n v="13735"/>
    <n v="0.02"/>
    <n v="41205"/>
    <n v="10488"/>
    <n v="3"/>
  </r>
  <r>
    <s v="ORD1042"/>
    <x v="40"/>
    <s v="P018"/>
    <x v="11"/>
    <x v="4"/>
    <s v="SkinLab"/>
    <x v="1"/>
    <x v="2"/>
    <x v="1"/>
    <x v="1"/>
    <n v="5"/>
    <n v="2729"/>
    <n v="13645"/>
    <n v="10615"/>
    <n v="0.04"/>
    <n v="53075"/>
    <n v="39430"/>
    <s v="N/A"/>
  </r>
  <r>
    <s v="ORD1043"/>
    <x v="41"/>
    <s v="P011"/>
    <x v="7"/>
    <x v="1"/>
    <s v="SkinLab"/>
    <x v="1"/>
    <x v="1"/>
    <x v="3"/>
    <x v="2"/>
    <n v="2"/>
    <n v="9127"/>
    <n v="18254"/>
    <n v="15035"/>
    <n v="0.04"/>
    <n v="30070"/>
    <n v="11816"/>
    <n v="1"/>
  </r>
  <r>
    <s v="ORD1044"/>
    <x v="42"/>
    <s v="P015"/>
    <x v="5"/>
    <x v="4"/>
    <s v="N/A"/>
    <x v="0"/>
    <x v="2"/>
    <x v="0"/>
    <x v="3"/>
    <n v="4"/>
    <n v="10622"/>
    <n v="42488"/>
    <n v="17646"/>
    <n v="0"/>
    <n v="70584"/>
    <n v="28096"/>
    <s v="N/A"/>
  </r>
  <r>
    <s v="ORD1045"/>
    <x v="43"/>
    <s v="P001"/>
    <x v="3"/>
    <x v="3"/>
    <s v="DermaCare"/>
    <x v="1"/>
    <x v="0"/>
    <x v="1"/>
    <x v="0"/>
    <n v="4"/>
    <n v="7272"/>
    <n v="29088"/>
    <n v="9025"/>
    <n v="0.04"/>
    <n v="36100"/>
    <n v="7012"/>
    <n v="5"/>
  </r>
  <r>
    <s v="ORD1046"/>
    <x v="44"/>
    <s v="P002"/>
    <x v="3"/>
    <x v="3"/>
    <s v="SkinLab"/>
    <x v="1"/>
    <x v="2"/>
    <x v="1"/>
    <x v="0"/>
    <n v="8"/>
    <n v="13705"/>
    <n v="109640"/>
    <n v="17137"/>
    <n v="0"/>
    <n v="137096"/>
    <n v="27456"/>
    <n v="2"/>
  </r>
  <r>
    <s v="ORD1047"/>
    <x v="45"/>
    <s v="P011"/>
    <x v="7"/>
    <x v="1"/>
    <s v="DermaCare"/>
    <x v="0"/>
    <x v="1"/>
    <x v="2"/>
    <x v="2"/>
    <n v="1"/>
    <n v="14634"/>
    <n v="14634"/>
    <n v="17402"/>
    <n v="0.04"/>
    <n v="17402"/>
    <n v="2768"/>
    <s v="N/A"/>
  </r>
  <r>
    <s v="ORD1048"/>
    <x v="46"/>
    <s v="P005"/>
    <x v="12"/>
    <x v="3"/>
    <s v=" glowbeauty "/>
    <x v="0"/>
    <x v="0"/>
    <x v="1"/>
    <x v="0"/>
    <n v="1"/>
    <n v="5749"/>
    <n v="5749"/>
    <n v="10658"/>
    <n v="0.05"/>
    <n v="10658"/>
    <n v="4909"/>
    <n v="2"/>
  </r>
  <r>
    <s v="ORD1049"/>
    <x v="47"/>
    <s v="P012"/>
    <x v="0"/>
    <x v="0"/>
    <s v="N/A"/>
    <x v="1"/>
    <x v="0"/>
    <x v="2"/>
    <x v="3"/>
    <n v="8"/>
    <n v="7092"/>
    <n v="56736"/>
    <n v="9340"/>
    <n v="0"/>
    <n v="74720"/>
    <n v="17984"/>
    <n v="2"/>
  </r>
  <r>
    <s v="ORD1050"/>
    <x v="48"/>
    <s v="P009"/>
    <x v="14"/>
    <x v="1"/>
    <s v=" glowbeauty "/>
    <x v="1"/>
    <x v="1"/>
    <x v="1"/>
    <x v="2"/>
    <n v="2"/>
    <n v="14111"/>
    <n v="28222"/>
    <n v="16071"/>
    <n v="0.1"/>
    <n v="32142"/>
    <n v="3920"/>
    <n v="1"/>
  </r>
  <r>
    <s v="ORD1051"/>
    <x v="49"/>
    <s v="P006"/>
    <x v="9"/>
    <x v="2"/>
    <s v="SkinLab"/>
    <x v="0"/>
    <x v="2"/>
    <x v="2"/>
    <x v="1"/>
    <n v="6"/>
    <n v="12764"/>
    <n v="76584"/>
    <n v="19047"/>
    <n v="0.04"/>
    <n v="114282"/>
    <n v="37698"/>
    <n v="4"/>
  </r>
  <r>
    <s v="ORD1052"/>
    <x v="50"/>
    <s v="P017"/>
    <x v="6"/>
    <x v="4"/>
    <s v="SkinLab"/>
    <x v="0"/>
    <x v="0"/>
    <x v="1"/>
    <x v="1"/>
    <n v="3"/>
    <n v="14260"/>
    <n v="42780"/>
    <n v="15292"/>
    <n v="0.02"/>
    <n v="45876"/>
    <n v="3096"/>
    <n v="5"/>
  </r>
  <r>
    <s v="ORD1053"/>
    <x v="51"/>
    <s v="P012"/>
    <x v="0"/>
    <x v="0"/>
    <s v=" glowbeauty "/>
    <x v="1"/>
    <x v="0"/>
    <x v="1"/>
    <x v="1"/>
    <n v="5"/>
    <n v="9431"/>
    <n v="47155"/>
    <n v="10935"/>
    <n v="0"/>
    <n v="54675"/>
    <n v="7520"/>
    <n v="4"/>
  </r>
  <r>
    <s v="ORD1054"/>
    <x v="52"/>
    <s v="P005"/>
    <x v="12"/>
    <x v="3"/>
    <s v="GlowBeauty"/>
    <x v="0"/>
    <x v="0"/>
    <x v="1"/>
    <x v="2"/>
    <n v="5"/>
    <n v="4319"/>
    <n v="21595"/>
    <n v="7297"/>
    <n v="0"/>
    <n v="36485"/>
    <n v="14890"/>
    <n v="4"/>
  </r>
  <r>
    <s v="ORD1055"/>
    <x v="53"/>
    <s v="P014"/>
    <x v="4"/>
    <x v="4"/>
    <s v=" glowbeauty "/>
    <x v="0"/>
    <x v="1"/>
    <x v="1"/>
    <x v="1"/>
    <n v="4"/>
    <n v="14158"/>
    <n v="56632"/>
    <n v="15759"/>
    <n v="0"/>
    <n v="63036"/>
    <n v="6404"/>
    <n v="4"/>
  </r>
  <r>
    <s v="ORD1056"/>
    <x v="54"/>
    <s v="P010"/>
    <x v="1"/>
    <x v="1"/>
    <s v="SkinLab"/>
    <x v="1"/>
    <x v="1"/>
    <x v="1"/>
    <x v="1"/>
    <n v="8"/>
    <n v="11965"/>
    <n v="95720"/>
    <n v="18639"/>
    <n v="0"/>
    <n v="149112"/>
    <n v="53392"/>
    <n v="2"/>
  </r>
  <r>
    <s v="ORD1057"/>
    <x v="55"/>
    <s v="P011"/>
    <x v="7"/>
    <x v="1"/>
    <s v="PureSkin"/>
    <x v="0"/>
    <x v="0"/>
    <x v="3"/>
    <x v="3"/>
    <n v="6"/>
    <n v="5848"/>
    <n v="35088"/>
    <n v="8502"/>
    <n v="0"/>
    <n v="51012"/>
    <n v="15924"/>
    <s v="N/A"/>
  </r>
  <r>
    <s v="ORD1058"/>
    <x v="56"/>
    <s v="P013"/>
    <x v="15"/>
    <x v="0"/>
    <s v="N/A"/>
    <x v="1"/>
    <x v="0"/>
    <x v="1"/>
    <x v="0"/>
    <n v="4"/>
    <n v="6585"/>
    <n v="26340"/>
    <n v="13483"/>
    <n v="0.05"/>
    <n v="53932"/>
    <n v="27592"/>
    <n v="1"/>
  </r>
  <r>
    <s v="ORD1059"/>
    <x v="57"/>
    <s v="P005"/>
    <x v="12"/>
    <x v="3"/>
    <s v="SkinLab"/>
    <x v="1"/>
    <x v="1"/>
    <x v="1"/>
    <x v="1"/>
    <n v="3"/>
    <n v="7001"/>
    <n v="21003"/>
    <n v="13035"/>
    <n v="0.02"/>
    <n v="39105"/>
    <n v="18102"/>
    <n v="3"/>
  </r>
  <r>
    <s v="ORD1060"/>
    <x v="58"/>
    <s v="P004"/>
    <x v="8"/>
    <x v="3"/>
    <s v="PureSkin"/>
    <x v="0"/>
    <x v="0"/>
    <x v="1"/>
    <x v="1"/>
    <n v="2"/>
    <n v="3057"/>
    <n v="6114"/>
    <n v="10819"/>
    <n v="0.05"/>
    <n v="21638"/>
    <n v="15524"/>
    <n v="2"/>
  </r>
  <r>
    <s v="ORD1061"/>
    <x v="59"/>
    <s v="P013"/>
    <x v="15"/>
    <x v="0"/>
    <s v="GlowBeauty"/>
    <x v="1"/>
    <x v="1"/>
    <x v="0"/>
    <x v="3"/>
    <n v="5"/>
    <n v="7628"/>
    <n v="38140"/>
    <n v="15536"/>
    <n v="0.02"/>
    <n v="77680"/>
    <n v="39540"/>
    <s v="N/A"/>
  </r>
  <r>
    <s v="ORD1062"/>
    <x v="60"/>
    <s v="P013"/>
    <x v="15"/>
    <x v="0"/>
    <s v="SkinLab"/>
    <x v="1"/>
    <x v="1"/>
    <x v="1"/>
    <x v="0"/>
    <n v="3"/>
    <n v="1884"/>
    <n v="5652"/>
    <n v="3634"/>
    <n v="0.04"/>
    <n v="10902"/>
    <n v="5250"/>
    <n v="3"/>
  </r>
  <r>
    <s v="ORD1063"/>
    <x v="61"/>
    <s v="P010"/>
    <x v="1"/>
    <x v="1"/>
    <s v="N/A"/>
    <x v="0"/>
    <x v="0"/>
    <x v="1"/>
    <x v="3"/>
    <n v="7"/>
    <n v="13323"/>
    <n v="93261"/>
    <n v="19796"/>
    <n v="0.05"/>
    <n v="138572"/>
    <n v="45311"/>
    <n v="4"/>
  </r>
  <r>
    <s v="ORD1064"/>
    <x v="62"/>
    <s v="P007"/>
    <x v="10"/>
    <x v="2"/>
    <s v="SkinLab"/>
    <x v="0"/>
    <x v="1"/>
    <x v="1"/>
    <x v="2"/>
    <n v="4"/>
    <n v="11895"/>
    <n v="47580"/>
    <n v="19298"/>
    <n v="0.04"/>
    <n v="77192"/>
    <n v="29612"/>
    <n v="1"/>
  </r>
  <r>
    <s v="ORD1065"/>
    <x v="63"/>
    <s v="P005"/>
    <x v="12"/>
    <x v="3"/>
    <s v="DermaCare"/>
    <x v="0"/>
    <x v="0"/>
    <x v="1"/>
    <x v="3"/>
    <n v="6"/>
    <n v="9388"/>
    <n v="56328"/>
    <n v="13548"/>
    <n v="0.1"/>
    <n v="81288"/>
    <n v="24960"/>
    <s v="N/A"/>
  </r>
  <r>
    <s v="ORD1066"/>
    <x v="64"/>
    <s v="P014"/>
    <x v="4"/>
    <x v="4"/>
    <s v="GlowBeauty"/>
    <x v="1"/>
    <x v="2"/>
    <x v="0"/>
    <x v="2"/>
    <n v="5"/>
    <n v="7284"/>
    <n v="36420"/>
    <n v="15064"/>
    <n v="0.1"/>
    <n v="75320"/>
    <n v="38900"/>
    <n v="5"/>
  </r>
  <r>
    <s v="ORD1067"/>
    <x v="62"/>
    <s v="P002"/>
    <x v="3"/>
    <x v="3"/>
    <s v="N/A"/>
    <x v="1"/>
    <x v="0"/>
    <x v="2"/>
    <x v="3"/>
    <n v="4"/>
    <n v="9238"/>
    <n v="36952"/>
    <n v="12276"/>
    <n v="0.02"/>
    <n v="49104"/>
    <n v="12152"/>
    <n v="5"/>
  </r>
  <r>
    <s v="ORD1068"/>
    <x v="65"/>
    <s v="P003"/>
    <x v="13"/>
    <x v="3"/>
    <s v="SkinLab"/>
    <x v="1"/>
    <x v="1"/>
    <x v="2"/>
    <x v="0"/>
    <n v="1"/>
    <n v="13930"/>
    <n v="13930"/>
    <n v="16742"/>
    <n v="0.1"/>
    <n v="16742"/>
    <n v="2812"/>
    <n v="2"/>
  </r>
  <r>
    <s v="ORD1069"/>
    <x v="66"/>
    <s v="P004"/>
    <x v="8"/>
    <x v="3"/>
    <s v="DermaCare"/>
    <x v="1"/>
    <x v="2"/>
    <x v="1"/>
    <x v="2"/>
    <n v="2"/>
    <n v="12962"/>
    <n v="25924"/>
    <n v="16436"/>
    <n v="0.1"/>
    <n v="32872"/>
    <n v="6948"/>
    <n v="5"/>
  </r>
  <r>
    <s v="ORD1070"/>
    <x v="67"/>
    <s v="P017"/>
    <x v="6"/>
    <x v="4"/>
    <s v="PureSkin"/>
    <x v="1"/>
    <x v="0"/>
    <x v="1"/>
    <x v="2"/>
    <n v="8"/>
    <n v="11628"/>
    <n v="93024"/>
    <n v="14384"/>
    <n v="0"/>
    <n v="115072"/>
    <n v="22048"/>
    <n v="1"/>
  </r>
  <r>
    <s v="ORD1071"/>
    <x v="68"/>
    <s v="P016"/>
    <x v="16"/>
    <x v="4"/>
    <s v="DermaCare"/>
    <x v="1"/>
    <x v="2"/>
    <x v="0"/>
    <x v="1"/>
    <n v="1"/>
    <n v="4458"/>
    <n v="4458"/>
    <n v="7299"/>
    <n v="0.04"/>
    <n v="7299"/>
    <n v="2841"/>
    <n v="2"/>
  </r>
  <r>
    <s v="ORD1072"/>
    <x v="69"/>
    <s v="P007"/>
    <x v="10"/>
    <x v="2"/>
    <s v="GlowBeauty"/>
    <x v="1"/>
    <x v="1"/>
    <x v="1"/>
    <x v="3"/>
    <n v="6"/>
    <n v="11375"/>
    <n v="68250"/>
    <n v="13608"/>
    <n v="0.04"/>
    <n v="81648"/>
    <n v="13398"/>
    <n v="1"/>
  </r>
  <r>
    <s v="ORD1073"/>
    <x v="4"/>
    <s v="P017"/>
    <x v="6"/>
    <x v="4"/>
    <s v="SkinLab"/>
    <x v="1"/>
    <x v="0"/>
    <x v="1"/>
    <x v="1"/>
    <n v="7"/>
    <n v="8966"/>
    <n v="62762"/>
    <n v="13879"/>
    <n v="0.02"/>
    <n v="97153"/>
    <n v="34391"/>
    <n v="3"/>
  </r>
  <r>
    <s v="ORD1074"/>
    <x v="1"/>
    <s v="P017"/>
    <x v="6"/>
    <x v="4"/>
    <s v="N/A"/>
    <x v="1"/>
    <x v="2"/>
    <x v="2"/>
    <x v="2"/>
    <n v="7"/>
    <n v="11223"/>
    <n v="78561"/>
    <n v="13773"/>
    <n v="0.05"/>
    <n v="96411"/>
    <n v="17850"/>
    <n v="5"/>
  </r>
  <r>
    <s v="ORD1075"/>
    <x v="70"/>
    <s v="P003"/>
    <x v="13"/>
    <x v="3"/>
    <s v="PureSkin"/>
    <x v="0"/>
    <x v="0"/>
    <x v="3"/>
    <x v="3"/>
    <n v="7"/>
    <n v="6664"/>
    <n v="46648"/>
    <n v="12108"/>
    <n v="0"/>
    <n v="84756"/>
    <n v="38108"/>
    <n v="3"/>
  </r>
  <r>
    <s v="ORD1076"/>
    <x v="30"/>
    <s v="P004"/>
    <x v="8"/>
    <x v="3"/>
    <s v="N/A"/>
    <x v="0"/>
    <x v="2"/>
    <x v="1"/>
    <x v="2"/>
    <n v="1"/>
    <n v="8458"/>
    <n v="8458"/>
    <n v="12863"/>
    <n v="0.04"/>
    <n v="12863"/>
    <n v="4405"/>
    <n v="4"/>
  </r>
  <r>
    <s v="ORD1077"/>
    <x v="71"/>
    <s v="P013"/>
    <x v="15"/>
    <x v="0"/>
    <s v="SkinLab"/>
    <x v="0"/>
    <x v="1"/>
    <x v="1"/>
    <x v="2"/>
    <n v="5"/>
    <n v="4045"/>
    <n v="20225"/>
    <n v="11942"/>
    <n v="0.02"/>
    <n v="59710"/>
    <n v="39485"/>
    <n v="5"/>
  </r>
  <r>
    <s v="ORD1078"/>
    <x v="72"/>
    <s v="P003"/>
    <x v="13"/>
    <x v="3"/>
    <s v="GlowBeauty"/>
    <x v="1"/>
    <x v="1"/>
    <x v="1"/>
    <x v="3"/>
    <n v="3"/>
    <n v="12456"/>
    <n v="37368"/>
    <n v="13762"/>
    <n v="0.02"/>
    <n v="41286"/>
    <n v="3918"/>
    <n v="4"/>
  </r>
  <r>
    <s v="ORD1079"/>
    <x v="73"/>
    <s v="P004"/>
    <x v="8"/>
    <x v="3"/>
    <s v="GlowBeauty"/>
    <x v="0"/>
    <x v="1"/>
    <x v="1"/>
    <x v="1"/>
    <n v="8"/>
    <n v="14267"/>
    <n v="114136"/>
    <n v="17723"/>
    <n v="0.1"/>
    <n v="141784"/>
    <n v="27648"/>
    <n v="4"/>
  </r>
  <r>
    <s v="ORD1080"/>
    <x v="74"/>
    <s v="P016"/>
    <x v="16"/>
    <x v="4"/>
    <s v="SkinLab"/>
    <x v="1"/>
    <x v="2"/>
    <x v="1"/>
    <x v="1"/>
    <n v="5"/>
    <n v="1503"/>
    <n v="7515"/>
    <n v="8771"/>
    <n v="0.05"/>
    <n v="43855"/>
    <n v="36340"/>
    <n v="2"/>
  </r>
  <r>
    <s v="ORD1081"/>
    <x v="75"/>
    <s v="P008"/>
    <x v="2"/>
    <x v="2"/>
    <s v="DermaCare"/>
    <x v="1"/>
    <x v="0"/>
    <x v="1"/>
    <x v="3"/>
    <n v="6"/>
    <n v="3970"/>
    <n v="23820"/>
    <n v="11831"/>
    <n v="0.1"/>
    <n v="70986"/>
    <n v="47166"/>
    <n v="4"/>
  </r>
  <r>
    <s v="ORD1082"/>
    <x v="76"/>
    <s v="P001"/>
    <x v="3"/>
    <x v="3"/>
    <s v="GlowBeauty"/>
    <x v="0"/>
    <x v="1"/>
    <x v="0"/>
    <x v="1"/>
    <n v="2"/>
    <n v="5157"/>
    <n v="10314"/>
    <n v="10350"/>
    <n v="0"/>
    <n v="20700"/>
    <n v="10386"/>
    <n v="2"/>
  </r>
  <r>
    <s v="ORD1083"/>
    <x v="9"/>
    <s v="P005"/>
    <x v="12"/>
    <x v="3"/>
    <s v=" glowbeauty "/>
    <x v="1"/>
    <x v="0"/>
    <x v="2"/>
    <x v="2"/>
    <n v="7"/>
    <n v="10591"/>
    <n v="74137"/>
    <n v="12410"/>
    <n v="0.1"/>
    <n v="86870"/>
    <n v="12733"/>
    <n v="1"/>
  </r>
  <r>
    <s v="ORD1084"/>
    <x v="77"/>
    <s v="P007"/>
    <x v="10"/>
    <x v="2"/>
    <s v="SkinLab"/>
    <x v="0"/>
    <x v="1"/>
    <x v="1"/>
    <x v="0"/>
    <n v="7"/>
    <n v="11418"/>
    <n v="79926"/>
    <n v="14754"/>
    <n v="0.05"/>
    <n v="103278"/>
    <n v="23352"/>
    <n v="1"/>
  </r>
  <r>
    <s v="ORD1085"/>
    <x v="78"/>
    <s v="P005"/>
    <x v="12"/>
    <x v="3"/>
    <s v="PureSkin"/>
    <x v="1"/>
    <x v="0"/>
    <x v="1"/>
    <x v="2"/>
    <n v="5"/>
    <n v="8726"/>
    <n v="43630"/>
    <n v="10177"/>
    <n v="0.02"/>
    <n v="50885"/>
    <n v="7255"/>
    <n v="1"/>
  </r>
  <r>
    <s v="ORD1086"/>
    <x v="79"/>
    <s v="P016"/>
    <x v="16"/>
    <x v="4"/>
    <s v="GlowBeauty"/>
    <x v="1"/>
    <x v="0"/>
    <x v="0"/>
    <x v="3"/>
    <n v="4"/>
    <n v="7427"/>
    <n v="29708"/>
    <n v="10694"/>
    <n v="0.05"/>
    <n v="42776"/>
    <n v="13068"/>
    <n v="2"/>
  </r>
  <r>
    <s v="ORD1087"/>
    <x v="80"/>
    <s v="P007"/>
    <x v="10"/>
    <x v="2"/>
    <s v="N/A"/>
    <x v="0"/>
    <x v="1"/>
    <x v="1"/>
    <x v="0"/>
    <n v="3"/>
    <n v="7269"/>
    <n v="21807"/>
    <n v="11885"/>
    <n v="0.02"/>
    <n v="35655"/>
    <n v="13848"/>
    <n v="1"/>
  </r>
  <r>
    <s v="ORD1088"/>
    <x v="81"/>
    <s v="P013"/>
    <x v="15"/>
    <x v="0"/>
    <s v="SkinLab"/>
    <x v="1"/>
    <x v="2"/>
    <x v="1"/>
    <x v="3"/>
    <n v="2"/>
    <n v="7540"/>
    <n v="15080"/>
    <n v="12287"/>
    <n v="0"/>
    <n v="24574"/>
    <n v="9494"/>
    <s v="N/A"/>
  </r>
  <r>
    <s v="ORD1089"/>
    <x v="82"/>
    <s v="P011"/>
    <x v="7"/>
    <x v="1"/>
    <s v=" glowbeauty "/>
    <x v="1"/>
    <x v="1"/>
    <x v="1"/>
    <x v="2"/>
    <n v="5"/>
    <n v="8710"/>
    <n v="43550"/>
    <n v="12870"/>
    <n v="0.1"/>
    <n v="64350"/>
    <n v="20800"/>
    <n v="4"/>
  </r>
  <r>
    <s v="ORD1090"/>
    <x v="83"/>
    <s v="P013"/>
    <x v="15"/>
    <x v="0"/>
    <s v=" glowbeauty "/>
    <x v="1"/>
    <x v="1"/>
    <x v="0"/>
    <x v="1"/>
    <n v="4"/>
    <n v="13084"/>
    <n v="52336"/>
    <n v="14806"/>
    <n v="0.02"/>
    <n v="59224"/>
    <n v="6888"/>
    <n v="3"/>
  </r>
  <r>
    <s v="ORD1091"/>
    <x v="84"/>
    <s v="P008"/>
    <x v="2"/>
    <x v="2"/>
    <s v="GlowBeauty"/>
    <x v="0"/>
    <x v="0"/>
    <x v="1"/>
    <x v="2"/>
    <n v="5"/>
    <n v="1946"/>
    <n v="9730"/>
    <n v="2729"/>
    <n v="0.02"/>
    <n v="13645"/>
    <n v="3915"/>
    <n v="2"/>
  </r>
  <r>
    <s v="ORD1092"/>
    <x v="85"/>
    <s v="P003"/>
    <x v="13"/>
    <x v="3"/>
    <s v="GlowBeauty"/>
    <x v="0"/>
    <x v="1"/>
    <x v="1"/>
    <x v="0"/>
    <n v="1"/>
    <n v="1664"/>
    <n v="1664"/>
    <n v="5257"/>
    <n v="0.02"/>
    <n v="5257"/>
    <n v="3593"/>
    <n v="1"/>
  </r>
  <r>
    <s v="ORD1093"/>
    <x v="46"/>
    <s v="P017"/>
    <x v="6"/>
    <x v="4"/>
    <s v="PureSkin"/>
    <x v="0"/>
    <x v="1"/>
    <x v="1"/>
    <x v="1"/>
    <n v="5"/>
    <n v="13181"/>
    <n v="65905"/>
    <n v="16645"/>
    <n v="0.1"/>
    <n v="83225"/>
    <n v="17320"/>
    <n v="4"/>
  </r>
  <r>
    <s v="ORD1094"/>
    <x v="86"/>
    <s v="P003"/>
    <x v="13"/>
    <x v="3"/>
    <s v=" glowbeauty "/>
    <x v="0"/>
    <x v="0"/>
    <x v="2"/>
    <x v="1"/>
    <n v="6"/>
    <n v="6038"/>
    <n v="36228"/>
    <n v="7932"/>
    <n v="0.04"/>
    <n v="47592"/>
    <n v="11364"/>
    <n v="2"/>
  </r>
  <r>
    <s v="ORD1095"/>
    <x v="87"/>
    <s v="P012"/>
    <x v="0"/>
    <x v="0"/>
    <s v="SkinLab"/>
    <x v="0"/>
    <x v="0"/>
    <x v="1"/>
    <x v="2"/>
    <n v="2"/>
    <n v="11447"/>
    <n v="22894"/>
    <n v="14483"/>
    <n v="0.04"/>
    <n v="28966"/>
    <n v="6072"/>
    <n v="2"/>
  </r>
  <r>
    <s v="ORD1096"/>
    <x v="88"/>
    <s v="P001"/>
    <x v="3"/>
    <x v="3"/>
    <s v="PureSkin"/>
    <x v="0"/>
    <x v="0"/>
    <x v="1"/>
    <x v="3"/>
    <n v="3"/>
    <n v="12783"/>
    <n v="38349"/>
    <n v="20529"/>
    <n v="0.02"/>
    <n v="61587"/>
    <n v="23238"/>
    <n v="4"/>
  </r>
  <r>
    <s v="ORD1097"/>
    <x v="89"/>
    <s v="P006"/>
    <x v="9"/>
    <x v="2"/>
    <s v="GlowBeauty"/>
    <x v="0"/>
    <x v="2"/>
    <x v="1"/>
    <x v="0"/>
    <n v="3"/>
    <n v="10854"/>
    <n v="32562"/>
    <n v="12620"/>
    <n v="0"/>
    <n v="37860"/>
    <n v="5298"/>
    <n v="3"/>
  </r>
  <r>
    <s v="ORD1098"/>
    <x v="90"/>
    <s v="P012"/>
    <x v="0"/>
    <x v="0"/>
    <s v="DermaCare"/>
    <x v="0"/>
    <x v="2"/>
    <x v="3"/>
    <x v="2"/>
    <n v="7"/>
    <n v="14299"/>
    <n v="100093"/>
    <n v="19730"/>
    <n v="0.05"/>
    <n v="138110"/>
    <n v="38017"/>
    <n v="4"/>
  </r>
  <r>
    <s v="ORD1099"/>
    <x v="91"/>
    <s v="P010"/>
    <x v="1"/>
    <x v="1"/>
    <s v=" glowbeauty "/>
    <x v="1"/>
    <x v="1"/>
    <x v="2"/>
    <x v="1"/>
    <n v="5"/>
    <n v="14267"/>
    <n v="71335"/>
    <n v="19198"/>
    <n v="0.1"/>
    <n v="95990"/>
    <n v="24655"/>
    <s v="N/A"/>
  </r>
  <r>
    <s v="ORD1100"/>
    <x v="92"/>
    <s v="P015"/>
    <x v="5"/>
    <x v="4"/>
    <s v="PureSkin"/>
    <x v="0"/>
    <x v="1"/>
    <x v="0"/>
    <x v="3"/>
    <n v="7"/>
    <n v="14806"/>
    <n v="103642"/>
    <n v="18873"/>
    <n v="0.1"/>
    <n v="132111"/>
    <n v="28469"/>
    <n v="5"/>
  </r>
  <r>
    <s v="ORD1101"/>
    <x v="88"/>
    <s v="P001"/>
    <x v="3"/>
    <x v="3"/>
    <s v=" glowbeauty "/>
    <x v="1"/>
    <x v="0"/>
    <x v="0"/>
    <x v="0"/>
    <n v="7"/>
    <n v="14868"/>
    <n v="104076"/>
    <n v="22024"/>
    <n v="0.05"/>
    <n v="154168"/>
    <n v="50092"/>
    <n v="2"/>
  </r>
  <r>
    <s v="ORD1102"/>
    <x v="36"/>
    <s v="P009"/>
    <x v="14"/>
    <x v="1"/>
    <s v="PureSkin"/>
    <x v="1"/>
    <x v="0"/>
    <x v="2"/>
    <x v="1"/>
    <n v="2"/>
    <n v="7457"/>
    <n v="14914"/>
    <n v="11534"/>
    <n v="0.02"/>
    <n v="23068"/>
    <n v="8154"/>
    <n v="1"/>
  </r>
  <r>
    <s v="ORD1103"/>
    <x v="88"/>
    <s v="P018"/>
    <x v="11"/>
    <x v="4"/>
    <s v=" glowbeauty "/>
    <x v="1"/>
    <x v="2"/>
    <x v="1"/>
    <x v="0"/>
    <n v="3"/>
    <n v="3471"/>
    <n v="10413"/>
    <n v="9502"/>
    <n v="0.04"/>
    <n v="28506"/>
    <n v="18093"/>
    <n v="1"/>
  </r>
  <r>
    <s v="ORD1104"/>
    <x v="93"/>
    <s v="P003"/>
    <x v="13"/>
    <x v="3"/>
    <s v="SkinLab"/>
    <x v="0"/>
    <x v="1"/>
    <x v="2"/>
    <x v="0"/>
    <n v="4"/>
    <n v="5450"/>
    <n v="21800"/>
    <n v="9306"/>
    <n v="0.05"/>
    <n v="37224"/>
    <n v="15424"/>
    <n v="2"/>
  </r>
  <r>
    <s v="ORD1105"/>
    <x v="94"/>
    <s v="P018"/>
    <x v="11"/>
    <x v="4"/>
    <s v="PureSkin"/>
    <x v="0"/>
    <x v="2"/>
    <x v="1"/>
    <x v="0"/>
    <n v="4"/>
    <n v="2709"/>
    <n v="10836"/>
    <n v="6187"/>
    <n v="0.02"/>
    <n v="24748"/>
    <n v="13912"/>
    <n v="5"/>
  </r>
  <r>
    <s v="ORD1106"/>
    <x v="95"/>
    <s v="P009"/>
    <x v="14"/>
    <x v="1"/>
    <s v=" glowbeauty "/>
    <x v="0"/>
    <x v="1"/>
    <x v="1"/>
    <x v="3"/>
    <n v="2"/>
    <n v="11787"/>
    <n v="23574"/>
    <n v="18021"/>
    <n v="0.04"/>
    <n v="36042"/>
    <n v="12468"/>
    <n v="2"/>
  </r>
  <r>
    <s v="ORD1107"/>
    <x v="96"/>
    <s v="P003"/>
    <x v="13"/>
    <x v="3"/>
    <s v="GlowBeauty"/>
    <x v="1"/>
    <x v="0"/>
    <x v="0"/>
    <x v="3"/>
    <n v="3"/>
    <n v="3257"/>
    <n v="9771"/>
    <n v="9132"/>
    <n v="0.1"/>
    <n v="27396"/>
    <n v="17625"/>
    <n v="5"/>
  </r>
  <r>
    <s v="ORD1108"/>
    <x v="97"/>
    <s v="P016"/>
    <x v="16"/>
    <x v="4"/>
    <s v="N/A"/>
    <x v="0"/>
    <x v="1"/>
    <x v="1"/>
    <x v="1"/>
    <n v="2"/>
    <n v="6340"/>
    <n v="12680"/>
    <n v="13483"/>
    <n v="0.04"/>
    <n v="26966"/>
    <n v="14286"/>
    <n v="2"/>
  </r>
  <r>
    <s v="ORD1109"/>
    <x v="98"/>
    <s v="P005"/>
    <x v="12"/>
    <x v="3"/>
    <s v="SkinLab"/>
    <x v="1"/>
    <x v="1"/>
    <x v="0"/>
    <x v="1"/>
    <n v="3"/>
    <n v="2076"/>
    <n v="6228"/>
    <n v="3914"/>
    <n v="0"/>
    <n v="11742"/>
    <n v="5514"/>
    <n v="5"/>
  </r>
  <r>
    <s v="ORD1110"/>
    <x v="99"/>
    <s v="P014"/>
    <x v="4"/>
    <x v="4"/>
    <s v="N/A"/>
    <x v="0"/>
    <x v="1"/>
    <x v="1"/>
    <x v="3"/>
    <n v="5"/>
    <n v="3104"/>
    <n v="15520"/>
    <n v="5764"/>
    <n v="0.04"/>
    <n v="28820"/>
    <n v="13300"/>
    <n v="2"/>
  </r>
  <r>
    <s v="ORD1111"/>
    <x v="100"/>
    <s v="P009"/>
    <x v="14"/>
    <x v="1"/>
    <s v="DermaCare"/>
    <x v="1"/>
    <x v="1"/>
    <x v="1"/>
    <x v="2"/>
    <n v="4"/>
    <n v="10338"/>
    <n v="41352"/>
    <n v="16436"/>
    <n v="0.1"/>
    <n v="65744"/>
    <n v="24392"/>
    <n v="3"/>
  </r>
  <r>
    <s v="ORD1112"/>
    <x v="88"/>
    <s v="P017"/>
    <x v="6"/>
    <x v="4"/>
    <s v="GlowBeauty"/>
    <x v="0"/>
    <x v="2"/>
    <x v="1"/>
    <x v="0"/>
    <n v="2"/>
    <n v="11920"/>
    <n v="23840"/>
    <n v="17014"/>
    <n v="0.1"/>
    <n v="34028"/>
    <n v="10188"/>
    <n v="5"/>
  </r>
  <r>
    <s v="ORD1113"/>
    <x v="101"/>
    <s v="P018"/>
    <x v="11"/>
    <x v="4"/>
    <s v="DermaCare"/>
    <x v="1"/>
    <x v="0"/>
    <x v="0"/>
    <x v="3"/>
    <n v="8"/>
    <n v="3121"/>
    <n v="24968"/>
    <n v="10536"/>
    <n v="0"/>
    <n v="84288"/>
    <n v="59320"/>
    <s v="N/A"/>
  </r>
  <r>
    <s v="ORD1114"/>
    <x v="102"/>
    <s v="P016"/>
    <x v="16"/>
    <x v="4"/>
    <s v="SkinLab"/>
    <x v="1"/>
    <x v="0"/>
    <x v="1"/>
    <x v="0"/>
    <n v="8"/>
    <n v="3113"/>
    <n v="24904"/>
    <n v="6641"/>
    <n v="0.1"/>
    <n v="53128"/>
    <n v="28224"/>
    <n v="3"/>
  </r>
  <r>
    <s v="ORD1115"/>
    <x v="90"/>
    <s v="P002"/>
    <x v="3"/>
    <x v="3"/>
    <s v=" glowbeauty "/>
    <x v="1"/>
    <x v="2"/>
    <x v="1"/>
    <x v="3"/>
    <n v="3"/>
    <n v="7143"/>
    <n v="21429"/>
    <n v="14247"/>
    <n v="0.02"/>
    <n v="42741"/>
    <n v="21312"/>
    <n v="5"/>
  </r>
  <r>
    <s v="ORD1116"/>
    <x v="103"/>
    <s v="P015"/>
    <x v="5"/>
    <x v="4"/>
    <s v="SkinLab"/>
    <x v="0"/>
    <x v="2"/>
    <x v="1"/>
    <x v="1"/>
    <n v="2"/>
    <n v="10802"/>
    <n v="21604"/>
    <n v="12892"/>
    <n v="0"/>
    <n v="25784"/>
    <n v="4180"/>
    <s v="N/A"/>
  </r>
  <r>
    <s v="ORD1117"/>
    <x v="104"/>
    <s v="P013"/>
    <x v="15"/>
    <x v="0"/>
    <s v="GlowBeauty"/>
    <x v="0"/>
    <x v="0"/>
    <x v="1"/>
    <x v="2"/>
    <n v="4"/>
    <n v="9902"/>
    <n v="39608"/>
    <n v="11675"/>
    <n v="0.04"/>
    <n v="46700"/>
    <n v="7092"/>
    <n v="2"/>
  </r>
  <r>
    <s v="ORD1118"/>
    <x v="39"/>
    <s v="P013"/>
    <x v="15"/>
    <x v="0"/>
    <s v="GlowBeauty"/>
    <x v="1"/>
    <x v="2"/>
    <x v="2"/>
    <x v="0"/>
    <n v="6"/>
    <n v="7426"/>
    <n v="44556"/>
    <n v="9526"/>
    <n v="0.05"/>
    <n v="57156"/>
    <n v="12600"/>
    <n v="2"/>
  </r>
  <r>
    <s v="ORD1119"/>
    <x v="105"/>
    <s v="P015"/>
    <x v="5"/>
    <x v="4"/>
    <s v="GlowBeauty"/>
    <x v="0"/>
    <x v="2"/>
    <x v="3"/>
    <x v="0"/>
    <n v="6"/>
    <n v="4072"/>
    <n v="24432"/>
    <n v="8580"/>
    <n v="0"/>
    <n v="51480"/>
    <n v="27048"/>
    <n v="1"/>
  </r>
  <r>
    <s v="ORD1120"/>
    <x v="106"/>
    <s v="P017"/>
    <x v="6"/>
    <x v="4"/>
    <s v=" glowbeauty "/>
    <x v="1"/>
    <x v="0"/>
    <x v="1"/>
    <x v="0"/>
    <n v="6"/>
    <n v="1106"/>
    <n v="6636"/>
    <n v="8379"/>
    <n v="0.04"/>
    <n v="50274"/>
    <n v="43638"/>
    <n v="1"/>
  </r>
  <r>
    <s v="ORD1121"/>
    <x v="107"/>
    <s v="P011"/>
    <x v="7"/>
    <x v="1"/>
    <s v="PureSkin"/>
    <x v="0"/>
    <x v="2"/>
    <x v="3"/>
    <x v="0"/>
    <n v="4"/>
    <n v="6070"/>
    <n v="24280"/>
    <n v="10527"/>
    <n v="0"/>
    <n v="42108"/>
    <n v="17828"/>
    <n v="2"/>
  </r>
  <r>
    <s v="ORD1122"/>
    <x v="108"/>
    <s v="P012"/>
    <x v="0"/>
    <x v="0"/>
    <s v="DermaCare"/>
    <x v="1"/>
    <x v="2"/>
    <x v="1"/>
    <x v="1"/>
    <n v="7"/>
    <n v="6688"/>
    <n v="46816"/>
    <n v="13459"/>
    <n v="0.02"/>
    <n v="94213"/>
    <n v="47397"/>
    <n v="5"/>
  </r>
  <r>
    <s v="ORD1123"/>
    <x v="109"/>
    <s v="P014"/>
    <x v="4"/>
    <x v="4"/>
    <s v="GlowBeauty"/>
    <x v="0"/>
    <x v="1"/>
    <x v="1"/>
    <x v="2"/>
    <n v="5"/>
    <n v="14634"/>
    <n v="73170"/>
    <n v="17653"/>
    <n v="0.05"/>
    <n v="88265"/>
    <n v="15095"/>
    <n v="2"/>
  </r>
  <r>
    <s v="ORD1124"/>
    <x v="110"/>
    <s v="P015"/>
    <x v="5"/>
    <x v="4"/>
    <s v="SkinLab"/>
    <x v="1"/>
    <x v="2"/>
    <x v="1"/>
    <x v="3"/>
    <n v="8"/>
    <n v="9798"/>
    <n v="78384"/>
    <n v="13880"/>
    <n v="0.05"/>
    <n v="111040"/>
    <n v="32656"/>
    <n v="3"/>
  </r>
  <r>
    <s v="ORD1125"/>
    <x v="69"/>
    <s v="P006"/>
    <x v="9"/>
    <x v="2"/>
    <s v="SkinLab"/>
    <x v="0"/>
    <x v="2"/>
    <x v="3"/>
    <x v="0"/>
    <n v="8"/>
    <n v="14557"/>
    <n v="116456"/>
    <n v="21424"/>
    <n v="0.02"/>
    <n v="171392"/>
    <n v="54936"/>
    <n v="5"/>
  </r>
  <r>
    <s v="ORD1126"/>
    <x v="111"/>
    <s v="P006"/>
    <x v="9"/>
    <x v="2"/>
    <s v="N/A"/>
    <x v="1"/>
    <x v="0"/>
    <x v="1"/>
    <x v="0"/>
    <n v="3"/>
    <n v="9416"/>
    <n v="28248"/>
    <n v="13032"/>
    <n v="0"/>
    <n v="39096"/>
    <n v="10848"/>
    <n v="3"/>
  </r>
  <r>
    <s v="ORD1127"/>
    <x v="112"/>
    <s v="P012"/>
    <x v="0"/>
    <x v="0"/>
    <s v="GlowBeauty"/>
    <x v="1"/>
    <x v="0"/>
    <x v="2"/>
    <x v="1"/>
    <n v="4"/>
    <n v="3685"/>
    <n v="14740"/>
    <n v="5905"/>
    <n v="0.02"/>
    <n v="23620"/>
    <n v="8880"/>
    <s v="N/A"/>
  </r>
  <r>
    <s v="ORD1128"/>
    <x v="113"/>
    <s v="P017"/>
    <x v="6"/>
    <x v="4"/>
    <s v="SkinLab"/>
    <x v="1"/>
    <x v="2"/>
    <x v="0"/>
    <x v="1"/>
    <n v="1"/>
    <n v="2405"/>
    <n v="2405"/>
    <n v="9986"/>
    <n v="0.05"/>
    <n v="9986"/>
    <n v="7581"/>
    <n v="4"/>
  </r>
  <r>
    <s v="ORD1129"/>
    <x v="114"/>
    <s v="P015"/>
    <x v="5"/>
    <x v="4"/>
    <s v="GlowBeauty"/>
    <x v="0"/>
    <x v="1"/>
    <x v="1"/>
    <x v="2"/>
    <n v="7"/>
    <n v="8542"/>
    <n v="59794"/>
    <n v="14759"/>
    <n v="0.1"/>
    <n v="103313"/>
    <n v="43519"/>
    <n v="2"/>
  </r>
  <r>
    <s v="ORD1130"/>
    <x v="115"/>
    <s v="P003"/>
    <x v="13"/>
    <x v="3"/>
    <s v=" glowbeauty "/>
    <x v="0"/>
    <x v="0"/>
    <x v="1"/>
    <x v="0"/>
    <n v="4"/>
    <n v="9552"/>
    <n v="38208"/>
    <n v="13060"/>
    <n v="0.04"/>
    <n v="52240"/>
    <n v="14032"/>
    <n v="2"/>
  </r>
  <r>
    <s v="ORD1131"/>
    <x v="116"/>
    <s v="P009"/>
    <x v="14"/>
    <x v="1"/>
    <s v="N/A"/>
    <x v="0"/>
    <x v="0"/>
    <x v="0"/>
    <x v="1"/>
    <n v="5"/>
    <n v="10562"/>
    <n v="52810"/>
    <n v="12184"/>
    <n v="0.02"/>
    <n v="60920"/>
    <n v="8110"/>
    <n v="1"/>
  </r>
  <r>
    <s v="ORD1132"/>
    <x v="117"/>
    <s v="P002"/>
    <x v="3"/>
    <x v="3"/>
    <s v="SkinLab"/>
    <x v="0"/>
    <x v="0"/>
    <x v="1"/>
    <x v="1"/>
    <n v="3"/>
    <n v="10231"/>
    <n v="30693"/>
    <n v="13823"/>
    <n v="0.05"/>
    <n v="41469"/>
    <n v="10776"/>
    <n v="4"/>
  </r>
  <r>
    <s v="ORD1133"/>
    <x v="118"/>
    <s v="P013"/>
    <x v="15"/>
    <x v="0"/>
    <s v="N/A"/>
    <x v="0"/>
    <x v="0"/>
    <x v="1"/>
    <x v="2"/>
    <n v="7"/>
    <n v="9329"/>
    <n v="65303"/>
    <n v="10779"/>
    <n v="0.04"/>
    <n v="75453"/>
    <n v="10150"/>
    <n v="3"/>
  </r>
  <r>
    <s v="ORD1134"/>
    <x v="119"/>
    <s v="P016"/>
    <x v="16"/>
    <x v="4"/>
    <s v="GlowBeauty"/>
    <x v="0"/>
    <x v="2"/>
    <x v="1"/>
    <x v="2"/>
    <n v="2"/>
    <n v="10028"/>
    <n v="20056"/>
    <n v="12614"/>
    <n v="0.04"/>
    <n v="25228"/>
    <n v="5172"/>
    <n v="2"/>
  </r>
  <r>
    <s v="ORD1135"/>
    <x v="30"/>
    <s v="P006"/>
    <x v="9"/>
    <x v="2"/>
    <s v="PureSkin"/>
    <x v="1"/>
    <x v="1"/>
    <x v="1"/>
    <x v="2"/>
    <n v="4"/>
    <n v="9880"/>
    <n v="39520"/>
    <n v="11452"/>
    <n v="0.02"/>
    <n v="45808"/>
    <n v="6288"/>
    <s v="N/A"/>
  </r>
  <r>
    <s v="ORD1136"/>
    <x v="120"/>
    <s v="P015"/>
    <x v="5"/>
    <x v="4"/>
    <s v="SkinLab"/>
    <x v="1"/>
    <x v="1"/>
    <x v="3"/>
    <x v="1"/>
    <n v="1"/>
    <n v="10464"/>
    <n v="10464"/>
    <n v="15907"/>
    <n v="0.04"/>
    <n v="15907"/>
    <n v="5443"/>
    <n v="1"/>
  </r>
  <r>
    <s v="ORD1137"/>
    <x v="121"/>
    <s v="P014"/>
    <x v="4"/>
    <x v="4"/>
    <s v=" glowbeauty "/>
    <x v="0"/>
    <x v="1"/>
    <x v="1"/>
    <x v="3"/>
    <n v="8"/>
    <n v="4632"/>
    <n v="37056"/>
    <n v="6847"/>
    <n v="0.02"/>
    <n v="54776"/>
    <n v="17720"/>
    <s v="N/A"/>
  </r>
  <r>
    <s v="ORD1138"/>
    <x v="122"/>
    <s v="P006"/>
    <x v="9"/>
    <x v="2"/>
    <s v=" glowbeauty "/>
    <x v="0"/>
    <x v="1"/>
    <x v="3"/>
    <x v="1"/>
    <n v="6"/>
    <n v="3629"/>
    <n v="21774"/>
    <n v="6247"/>
    <n v="0.1"/>
    <n v="37482"/>
    <n v="15708"/>
    <n v="3"/>
  </r>
  <r>
    <s v="ORD1139"/>
    <x v="123"/>
    <s v="P010"/>
    <x v="1"/>
    <x v="1"/>
    <s v="N/A"/>
    <x v="1"/>
    <x v="1"/>
    <x v="1"/>
    <x v="3"/>
    <n v="8"/>
    <n v="8002"/>
    <n v="64016"/>
    <n v="9672"/>
    <n v="0"/>
    <n v="77376"/>
    <n v="13360"/>
    <n v="2"/>
  </r>
  <r>
    <s v="ORD1140"/>
    <x v="124"/>
    <s v="P017"/>
    <x v="6"/>
    <x v="4"/>
    <s v="DermaCare"/>
    <x v="0"/>
    <x v="0"/>
    <x v="2"/>
    <x v="0"/>
    <n v="2"/>
    <n v="14226"/>
    <n v="28452"/>
    <n v="18831"/>
    <n v="0.02"/>
    <n v="37662"/>
    <n v="9210"/>
    <n v="2"/>
  </r>
  <r>
    <s v="ORD1141"/>
    <x v="125"/>
    <s v="P006"/>
    <x v="9"/>
    <x v="2"/>
    <s v="N/A"/>
    <x v="1"/>
    <x v="2"/>
    <x v="1"/>
    <x v="3"/>
    <n v="5"/>
    <n v="7819"/>
    <n v="39095"/>
    <n v="15521"/>
    <n v="0.04"/>
    <n v="77605"/>
    <n v="38510"/>
    <n v="5"/>
  </r>
  <r>
    <s v="ORD1142"/>
    <x v="126"/>
    <s v="P011"/>
    <x v="7"/>
    <x v="1"/>
    <s v="PureSkin"/>
    <x v="0"/>
    <x v="2"/>
    <x v="1"/>
    <x v="3"/>
    <n v="4"/>
    <n v="10651"/>
    <n v="42604"/>
    <n v="13764"/>
    <n v="0.05"/>
    <n v="55056"/>
    <n v="12452"/>
    <n v="3"/>
  </r>
  <r>
    <s v="ORD1143"/>
    <x v="127"/>
    <s v="P006"/>
    <x v="9"/>
    <x v="2"/>
    <s v="PureSkin"/>
    <x v="1"/>
    <x v="0"/>
    <x v="1"/>
    <x v="2"/>
    <n v="8"/>
    <n v="2823"/>
    <n v="22584"/>
    <n v="9977"/>
    <n v="0.1"/>
    <n v="79816"/>
    <n v="57232"/>
    <n v="3"/>
  </r>
  <r>
    <s v="ORD1144"/>
    <x v="112"/>
    <s v="P018"/>
    <x v="11"/>
    <x v="4"/>
    <s v="SkinLab"/>
    <x v="0"/>
    <x v="2"/>
    <x v="1"/>
    <x v="0"/>
    <n v="1"/>
    <n v="14237"/>
    <n v="14237"/>
    <n v="18207"/>
    <n v="0.1"/>
    <n v="18207"/>
    <n v="3970"/>
    <n v="2"/>
  </r>
  <r>
    <s v="ORD1145"/>
    <x v="128"/>
    <s v="P005"/>
    <x v="12"/>
    <x v="3"/>
    <s v="N/A"/>
    <x v="1"/>
    <x v="1"/>
    <x v="3"/>
    <x v="0"/>
    <n v="3"/>
    <n v="7108"/>
    <n v="21324"/>
    <n v="10070"/>
    <n v="0.02"/>
    <n v="30210"/>
    <n v="8886"/>
    <s v="N/A"/>
  </r>
  <r>
    <s v="ORD1146"/>
    <x v="129"/>
    <s v="P003"/>
    <x v="13"/>
    <x v="3"/>
    <s v="DermaCare"/>
    <x v="1"/>
    <x v="1"/>
    <x v="1"/>
    <x v="3"/>
    <n v="8"/>
    <n v="11874"/>
    <n v="94992"/>
    <n v="19654"/>
    <n v="0.1"/>
    <n v="157232"/>
    <n v="62240"/>
    <n v="3"/>
  </r>
  <r>
    <s v="ORD1147"/>
    <x v="130"/>
    <s v="P009"/>
    <x v="14"/>
    <x v="1"/>
    <s v="SkinLab"/>
    <x v="0"/>
    <x v="2"/>
    <x v="2"/>
    <x v="0"/>
    <n v="6"/>
    <n v="10155"/>
    <n v="60930"/>
    <n v="14180"/>
    <n v="0.02"/>
    <n v="85080"/>
    <n v="24150"/>
    <n v="5"/>
  </r>
  <r>
    <s v="ORD1148"/>
    <x v="61"/>
    <s v="P008"/>
    <x v="2"/>
    <x v="2"/>
    <s v="GlowBeauty"/>
    <x v="1"/>
    <x v="0"/>
    <x v="3"/>
    <x v="3"/>
    <n v="6"/>
    <n v="13611"/>
    <n v="81666"/>
    <n v="17207"/>
    <n v="0.1"/>
    <n v="103242"/>
    <n v="21576"/>
    <s v="N/A"/>
  </r>
  <r>
    <s v="ORD1149"/>
    <x v="131"/>
    <s v="P005"/>
    <x v="12"/>
    <x v="3"/>
    <s v="SkinLab"/>
    <x v="0"/>
    <x v="0"/>
    <x v="3"/>
    <x v="2"/>
    <n v="6"/>
    <n v="13844"/>
    <n v="83064"/>
    <n v="19389"/>
    <n v="0"/>
    <n v="116334"/>
    <n v="33270"/>
    <n v="2"/>
  </r>
  <r>
    <s v="ORD1150"/>
    <x v="20"/>
    <s v="P016"/>
    <x v="16"/>
    <x v="4"/>
    <s v="GlowBeauty"/>
    <x v="0"/>
    <x v="0"/>
    <x v="1"/>
    <x v="3"/>
    <n v="8"/>
    <n v="11467"/>
    <n v="91736"/>
    <n v="15185"/>
    <n v="0"/>
    <n v="121480"/>
    <n v="29744"/>
    <n v="2"/>
  </r>
  <r>
    <s v="ORD1151"/>
    <x v="100"/>
    <s v="P009"/>
    <x v="14"/>
    <x v="1"/>
    <s v="GlowBeauty"/>
    <x v="0"/>
    <x v="0"/>
    <x v="1"/>
    <x v="1"/>
    <n v="4"/>
    <n v="2015"/>
    <n v="8060"/>
    <n v="6120"/>
    <n v="0.04"/>
    <n v="24480"/>
    <n v="16420"/>
    <n v="4"/>
  </r>
  <r>
    <s v="ORD1152"/>
    <x v="132"/>
    <s v="P004"/>
    <x v="8"/>
    <x v="3"/>
    <s v="N/A"/>
    <x v="1"/>
    <x v="2"/>
    <x v="3"/>
    <x v="3"/>
    <n v="7"/>
    <n v="6434"/>
    <n v="45038"/>
    <n v="11543"/>
    <n v="0"/>
    <n v="80801"/>
    <n v="35763"/>
    <n v="1"/>
  </r>
  <r>
    <s v="ORD1153"/>
    <x v="133"/>
    <s v="P018"/>
    <x v="11"/>
    <x v="4"/>
    <s v="DermaCare"/>
    <x v="0"/>
    <x v="2"/>
    <x v="0"/>
    <x v="3"/>
    <n v="2"/>
    <n v="6204"/>
    <n v="12408"/>
    <n v="12143"/>
    <n v="0"/>
    <n v="24286"/>
    <n v="11878"/>
    <n v="5"/>
  </r>
  <r>
    <s v="ORD1154"/>
    <x v="134"/>
    <s v="P003"/>
    <x v="13"/>
    <x v="3"/>
    <s v="PureSkin"/>
    <x v="1"/>
    <x v="2"/>
    <x v="3"/>
    <x v="1"/>
    <n v="8"/>
    <n v="1150"/>
    <n v="9200"/>
    <n v="8966"/>
    <n v="0.1"/>
    <n v="71728"/>
    <n v="62528"/>
    <n v="5"/>
  </r>
  <r>
    <s v="ORD1155"/>
    <x v="135"/>
    <s v="P018"/>
    <x v="11"/>
    <x v="4"/>
    <s v="N/A"/>
    <x v="0"/>
    <x v="1"/>
    <x v="1"/>
    <x v="1"/>
    <n v="2"/>
    <n v="12107"/>
    <n v="24214"/>
    <n v="17647"/>
    <n v="0.1"/>
    <n v="35294"/>
    <n v="11080"/>
    <n v="2"/>
  </r>
  <r>
    <s v="ORD1156"/>
    <x v="136"/>
    <s v="P018"/>
    <x v="11"/>
    <x v="4"/>
    <s v="N/A"/>
    <x v="0"/>
    <x v="0"/>
    <x v="1"/>
    <x v="3"/>
    <n v="2"/>
    <n v="3126"/>
    <n v="6252"/>
    <n v="7542"/>
    <n v="0.05"/>
    <n v="15084"/>
    <n v="8832"/>
    <n v="3"/>
  </r>
  <r>
    <s v="ORD1157"/>
    <x v="137"/>
    <s v="P008"/>
    <x v="2"/>
    <x v="2"/>
    <s v="PureSkin"/>
    <x v="0"/>
    <x v="0"/>
    <x v="1"/>
    <x v="3"/>
    <n v="8"/>
    <n v="12191"/>
    <n v="97528"/>
    <n v="14523"/>
    <n v="0"/>
    <n v="116184"/>
    <n v="18656"/>
    <n v="3"/>
  </r>
  <r>
    <s v="ORD1158"/>
    <x v="138"/>
    <s v="P006"/>
    <x v="9"/>
    <x v="2"/>
    <s v="GlowBeauty"/>
    <x v="0"/>
    <x v="0"/>
    <x v="3"/>
    <x v="1"/>
    <n v="4"/>
    <n v="8590"/>
    <n v="34360"/>
    <n v="12226"/>
    <n v="0.04"/>
    <n v="48904"/>
    <n v="14544"/>
    <n v="3"/>
  </r>
  <r>
    <s v="ORD1159"/>
    <x v="139"/>
    <s v="P014"/>
    <x v="4"/>
    <x v="4"/>
    <s v="SkinLab"/>
    <x v="0"/>
    <x v="2"/>
    <x v="1"/>
    <x v="2"/>
    <n v="2"/>
    <n v="12880"/>
    <n v="25760"/>
    <n v="17243"/>
    <n v="0.04"/>
    <n v="34486"/>
    <n v="8726"/>
    <n v="1"/>
  </r>
  <r>
    <s v="ORD1160"/>
    <x v="140"/>
    <s v="P003"/>
    <x v="13"/>
    <x v="3"/>
    <s v=" glowbeauty "/>
    <x v="0"/>
    <x v="1"/>
    <x v="1"/>
    <x v="0"/>
    <n v="8"/>
    <n v="14047"/>
    <n v="112376"/>
    <n v="18650"/>
    <n v="0.04"/>
    <n v="149200"/>
    <n v="36824"/>
    <n v="1"/>
  </r>
  <r>
    <s v="ORD1161"/>
    <x v="141"/>
    <s v="P017"/>
    <x v="6"/>
    <x v="4"/>
    <s v="N/A"/>
    <x v="0"/>
    <x v="2"/>
    <x v="1"/>
    <x v="0"/>
    <n v="3"/>
    <n v="1768"/>
    <n v="5304"/>
    <n v="7083"/>
    <n v="0.04"/>
    <n v="21249"/>
    <n v="15945"/>
    <n v="1"/>
  </r>
  <r>
    <s v="ORD1162"/>
    <x v="142"/>
    <s v="P005"/>
    <x v="12"/>
    <x v="3"/>
    <s v=" glowbeauty "/>
    <x v="1"/>
    <x v="2"/>
    <x v="3"/>
    <x v="1"/>
    <n v="8"/>
    <n v="2071"/>
    <n v="16568"/>
    <n v="8732"/>
    <n v="0.1"/>
    <n v="69856"/>
    <n v="53288"/>
    <n v="4"/>
  </r>
  <r>
    <s v="ORD1163"/>
    <x v="143"/>
    <s v="P011"/>
    <x v="7"/>
    <x v="1"/>
    <s v="DermaCare"/>
    <x v="1"/>
    <x v="0"/>
    <x v="1"/>
    <x v="3"/>
    <n v="8"/>
    <n v="5123"/>
    <n v="40984"/>
    <n v="10198"/>
    <n v="0.02"/>
    <n v="81584"/>
    <n v="40600"/>
    <n v="1"/>
  </r>
  <r>
    <s v="ORD1164"/>
    <x v="144"/>
    <s v="P002"/>
    <x v="3"/>
    <x v="3"/>
    <s v="DermaCare"/>
    <x v="1"/>
    <x v="0"/>
    <x v="2"/>
    <x v="0"/>
    <n v="8"/>
    <n v="13364"/>
    <n v="106912"/>
    <n v="17239"/>
    <n v="0.1"/>
    <n v="137912"/>
    <n v="31000"/>
    <n v="1"/>
  </r>
  <r>
    <s v="ORD1165"/>
    <x v="145"/>
    <s v="P017"/>
    <x v="6"/>
    <x v="4"/>
    <s v=" glowbeauty "/>
    <x v="1"/>
    <x v="0"/>
    <x v="2"/>
    <x v="1"/>
    <n v="6"/>
    <n v="12434"/>
    <n v="74604"/>
    <n v="15569"/>
    <n v="0"/>
    <n v="93414"/>
    <n v="18810"/>
    <n v="5"/>
  </r>
  <r>
    <s v="ORD1166"/>
    <x v="146"/>
    <s v="P014"/>
    <x v="4"/>
    <x v="4"/>
    <s v=" glowbeauty "/>
    <x v="0"/>
    <x v="2"/>
    <x v="1"/>
    <x v="2"/>
    <n v="8"/>
    <n v="12065"/>
    <n v="96520"/>
    <n v="16205"/>
    <n v="0.04"/>
    <n v="129640"/>
    <n v="33120"/>
    <n v="4"/>
  </r>
  <r>
    <s v="ORD1167"/>
    <x v="58"/>
    <s v="P001"/>
    <x v="3"/>
    <x v="3"/>
    <s v="PureSkin"/>
    <x v="0"/>
    <x v="0"/>
    <x v="1"/>
    <x v="1"/>
    <n v="7"/>
    <n v="5785"/>
    <n v="40495"/>
    <n v="11620"/>
    <n v="0.05"/>
    <n v="81340"/>
    <n v="40845"/>
    <n v="4"/>
  </r>
  <r>
    <s v="ORD1168"/>
    <x v="147"/>
    <s v="P008"/>
    <x v="2"/>
    <x v="2"/>
    <s v="DermaCare"/>
    <x v="0"/>
    <x v="0"/>
    <x v="2"/>
    <x v="3"/>
    <n v="6"/>
    <n v="8124"/>
    <n v="48744"/>
    <n v="12810"/>
    <n v="0"/>
    <n v="76860"/>
    <n v="28116"/>
    <n v="1"/>
  </r>
  <r>
    <s v="ORD1169"/>
    <x v="148"/>
    <s v="P015"/>
    <x v="5"/>
    <x v="4"/>
    <s v=" glowbeauty "/>
    <x v="0"/>
    <x v="2"/>
    <x v="1"/>
    <x v="3"/>
    <n v="8"/>
    <n v="5101"/>
    <n v="40808"/>
    <n v="11336"/>
    <n v="0.05"/>
    <n v="90688"/>
    <n v="49880"/>
    <n v="4"/>
  </r>
  <r>
    <s v="ORD1170"/>
    <x v="149"/>
    <s v="P004"/>
    <x v="8"/>
    <x v="3"/>
    <s v="SkinLab"/>
    <x v="1"/>
    <x v="0"/>
    <x v="1"/>
    <x v="0"/>
    <n v="4"/>
    <n v="12182"/>
    <n v="48728"/>
    <n v="14383"/>
    <n v="0.05"/>
    <n v="57532"/>
    <n v="8804"/>
    <n v="1"/>
  </r>
  <r>
    <s v="ORD1171"/>
    <x v="150"/>
    <s v="P013"/>
    <x v="15"/>
    <x v="0"/>
    <s v="PureSkin"/>
    <x v="0"/>
    <x v="1"/>
    <x v="1"/>
    <x v="2"/>
    <n v="8"/>
    <n v="3666"/>
    <n v="29328"/>
    <n v="4697"/>
    <n v="0.1"/>
    <n v="37576"/>
    <n v="8248"/>
    <n v="4"/>
  </r>
  <r>
    <s v="ORD1172"/>
    <x v="89"/>
    <s v="P002"/>
    <x v="3"/>
    <x v="3"/>
    <s v="DermaCare"/>
    <x v="0"/>
    <x v="2"/>
    <x v="1"/>
    <x v="2"/>
    <n v="3"/>
    <n v="9701"/>
    <n v="29103"/>
    <n v="11043"/>
    <n v="0.04"/>
    <n v="33129"/>
    <n v="4026"/>
    <s v="N/A"/>
  </r>
  <r>
    <s v="ORD1173"/>
    <x v="151"/>
    <s v="P014"/>
    <x v="4"/>
    <x v="4"/>
    <s v="DermaCare"/>
    <x v="1"/>
    <x v="2"/>
    <x v="3"/>
    <x v="1"/>
    <n v="7"/>
    <n v="11505"/>
    <n v="80535"/>
    <n v="13645"/>
    <n v="0.02"/>
    <n v="95515"/>
    <n v="14980"/>
    <n v="4"/>
  </r>
  <r>
    <s v="ORD1174"/>
    <x v="152"/>
    <s v="P006"/>
    <x v="9"/>
    <x v="2"/>
    <s v="PureSkin"/>
    <x v="1"/>
    <x v="1"/>
    <x v="1"/>
    <x v="2"/>
    <n v="1"/>
    <n v="1528"/>
    <n v="1528"/>
    <n v="4875"/>
    <n v="0.05"/>
    <n v="4875"/>
    <n v="3347"/>
    <n v="2"/>
  </r>
  <r>
    <s v="ORD1175"/>
    <x v="153"/>
    <s v="P002"/>
    <x v="3"/>
    <x v="3"/>
    <s v="DermaCare"/>
    <x v="1"/>
    <x v="1"/>
    <x v="3"/>
    <x v="2"/>
    <n v="7"/>
    <n v="11394"/>
    <n v="79758"/>
    <n v="19064"/>
    <n v="0.05"/>
    <n v="133448"/>
    <n v="53690"/>
    <s v="N/A"/>
  </r>
  <r>
    <s v="ORD1176"/>
    <x v="154"/>
    <s v="P010"/>
    <x v="1"/>
    <x v="1"/>
    <s v="GlowBeauty"/>
    <x v="0"/>
    <x v="2"/>
    <x v="1"/>
    <x v="3"/>
    <n v="4"/>
    <n v="8743"/>
    <n v="34972"/>
    <n v="15959"/>
    <n v="0.04"/>
    <n v="63836"/>
    <n v="28864"/>
    <n v="5"/>
  </r>
  <r>
    <s v="ORD1177"/>
    <x v="155"/>
    <s v="P017"/>
    <x v="6"/>
    <x v="4"/>
    <s v="SkinLab"/>
    <x v="1"/>
    <x v="0"/>
    <x v="3"/>
    <x v="3"/>
    <n v="7"/>
    <n v="6371"/>
    <n v="44597"/>
    <n v="11474"/>
    <n v="0.04"/>
    <n v="80318"/>
    <n v="35721"/>
    <n v="3"/>
  </r>
  <r>
    <s v="ORD1178"/>
    <x v="156"/>
    <s v="P005"/>
    <x v="12"/>
    <x v="3"/>
    <s v="N/A"/>
    <x v="0"/>
    <x v="2"/>
    <x v="3"/>
    <x v="0"/>
    <n v="4"/>
    <n v="10426"/>
    <n v="41704"/>
    <n v="14717"/>
    <n v="0.04"/>
    <n v="58868"/>
    <n v="17164"/>
    <s v="N/A"/>
  </r>
  <r>
    <s v="ORD1179"/>
    <x v="157"/>
    <s v="P005"/>
    <x v="12"/>
    <x v="3"/>
    <s v="GlowBeauty"/>
    <x v="1"/>
    <x v="1"/>
    <x v="1"/>
    <x v="0"/>
    <n v="3"/>
    <n v="12563"/>
    <n v="37689"/>
    <n v="13334"/>
    <n v="0"/>
    <n v="40002"/>
    <n v="2313"/>
    <s v="N/A"/>
  </r>
  <r>
    <s v="ORD1180"/>
    <x v="158"/>
    <s v="P009"/>
    <x v="14"/>
    <x v="1"/>
    <s v="GlowBeauty"/>
    <x v="0"/>
    <x v="1"/>
    <x v="1"/>
    <x v="1"/>
    <n v="4"/>
    <n v="6431"/>
    <n v="25724"/>
    <n v="11028"/>
    <n v="0.05"/>
    <n v="44112"/>
    <n v="18388"/>
    <n v="2"/>
  </r>
  <r>
    <s v="ORD1181"/>
    <x v="67"/>
    <s v="P001"/>
    <x v="3"/>
    <x v="3"/>
    <s v="GlowBeauty"/>
    <x v="0"/>
    <x v="0"/>
    <x v="0"/>
    <x v="0"/>
    <n v="7"/>
    <n v="3115"/>
    <n v="21805"/>
    <n v="7584"/>
    <n v="0"/>
    <n v="53088"/>
    <n v="31283"/>
    <n v="3"/>
  </r>
  <r>
    <s v="ORD1182"/>
    <x v="159"/>
    <s v="P012"/>
    <x v="0"/>
    <x v="0"/>
    <s v="SkinLab"/>
    <x v="1"/>
    <x v="2"/>
    <x v="1"/>
    <x v="0"/>
    <n v="2"/>
    <n v="4316"/>
    <n v="8632"/>
    <n v="8472"/>
    <n v="0.04"/>
    <n v="16944"/>
    <n v="8312"/>
    <n v="3"/>
  </r>
  <r>
    <s v="ORD1183"/>
    <x v="160"/>
    <s v="P001"/>
    <x v="3"/>
    <x v="3"/>
    <s v=" glowbeauty "/>
    <x v="0"/>
    <x v="0"/>
    <x v="3"/>
    <x v="1"/>
    <n v="7"/>
    <n v="8076"/>
    <n v="56532"/>
    <n v="14781"/>
    <n v="0"/>
    <n v="103467"/>
    <n v="46935"/>
    <n v="3"/>
  </r>
  <r>
    <s v="ORD1184"/>
    <x v="161"/>
    <s v="P018"/>
    <x v="11"/>
    <x v="4"/>
    <s v="GlowBeauty"/>
    <x v="1"/>
    <x v="2"/>
    <x v="1"/>
    <x v="2"/>
    <n v="4"/>
    <n v="12450"/>
    <n v="49800"/>
    <n v="15165"/>
    <n v="0.02"/>
    <n v="60660"/>
    <n v="10860"/>
    <n v="2"/>
  </r>
  <r>
    <s v="ORD1185"/>
    <x v="90"/>
    <s v="P007"/>
    <x v="10"/>
    <x v="2"/>
    <s v=" glowbeauty "/>
    <x v="0"/>
    <x v="0"/>
    <x v="1"/>
    <x v="1"/>
    <n v="2"/>
    <n v="12845"/>
    <n v="25690"/>
    <n v="18165"/>
    <n v="0.05"/>
    <n v="36330"/>
    <n v="10640"/>
    <n v="2"/>
  </r>
  <r>
    <s v="ORD1186"/>
    <x v="162"/>
    <s v="P010"/>
    <x v="1"/>
    <x v="1"/>
    <s v="GlowBeauty"/>
    <x v="0"/>
    <x v="2"/>
    <x v="3"/>
    <x v="0"/>
    <n v="1"/>
    <n v="6059"/>
    <n v="6059"/>
    <n v="13682"/>
    <n v="0.02"/>
    <n v="13682"/>
    <n v="7623"/>
    <n v="2"/>
  </r>
  <r>
    <s v="ORD1187"/>
    <x v="42"/>
    <s v="P002"/>
    <x v="3"/>
    <x v="3"/>
    <s v="SkinLab"/>
    <x v="0"/>
    <x v="0"/>
    <x v="0"/>
    <x v="0"/>
    <n v="4"/>
    <n v="10470"/>
    <n v="41880"/>
    <n v="15780"/>
    <n v="0"/>
    <n v="63120"/>
    <n v="21240"/>
    <n v="2"/>
  </r>
  <r>
    <s v="ORD1188"/>
    <x v="163"/>
    <s v="P018"/>
    <x v="11"/>
    <x v="4"/>
    <s v="DermaCare"/>
    <x v="0"/>
    <x v="1"/>
    <x v="2"/>
    <x v="3"/>
    <n v="8"/>
    <n v="4175"/>
    <n v="33400"/>
    <n v="12078"/>
    <n v="0.02"/>
    <n v="96624"/>
    <n v="63224"/>
    <n v="1"/>
  </r>
  <r>
    <s v="ORD1189"/>
    <x v="164"/>
    <s v="P015"/>
    <x v="5"/>
    <x v="4"/>
    <s v="DermaCare"/>
    <x v="1"/>
    <x v="2"/>
    <x v="2"/>
    <x v="0"/>
    <n v="8"/>
    <n v="7015"/>
    <n v="56120"/>
    <n v="14423"/>
    <n v="0.1"/>
    <n v="115384"/>
    <n v="59264"/>
    <s v="N/A"/>
  </r>
  <r>
    <s v="ORD1190"/>
    <x v="165"/>
    <s v="P015"/>
    <x v="5"/>
    <x v="4"/>
    <s v="DermaCare"/>
    <x v="1"/>
    <x v="2"/>
    <x v="1"/>
    <x v="0"/>
    <n v="1"/>
    <n v="11254"/>
    <n v="11254"/>
    <n v="14254"/>
    <n v="0.05"/>
    <n v="14254"/>
    <n v="3000"/>
    <n v="4"/>
  </r>
  <r>
    <s v="ORD1191"/>
    <x v="25"/>
    <s v="P017"/>
    <x v="6"/>
    <x v="4"/>
    <s v="GlowBeauty"/>
    <x v="1"/>
    <x v="2"/>
    <x v="2"/>
    <x v="1"/>
    <n v="7"/>
    <n v="3913"/>
    <n v="27391"/>
    <n v="4575"/>
    <n v="0.04"/>
    <n v="32025"/>
    <n v="4634"/>
    <n v="5"/>
  </r>
  <r>
    <s v="ORD1192"/>
    <x v="166"/>
    <s v="P014"/>
    <x v="4"/>
    <x v="4"/>
    <s v="DermaCare"/>
    <x v="1"/>
    <x v="2"/>
    <x v="0"/>
    <x v="2"/>
    <n v="7"/>
    <n v="13656"/>
    <n v="95592"/>
    <n v="16996"/>
    <n v="0.04"/>
    <n v="118972"/>
    <n v="23380"/>
    <s v="N/A"/>
  </r>
  <r>
    <s v="ORD1193"/>
    <x v="167"/>
    <s v="P006"/>
    <x v="9"/>
    <x v="2"/>
    <s v=" glowbeauty "/>
    <x v="0"/>
    <x v="0"/>
    <x v="2"/>
    <x v="0"/>
    <n v="8"/>
    <n v="9645"/>
    <n v="77160"/>
    <n v="15467"/>
    <n v="0.02"/>
    <n v="123736"/>
    <n v="46576"/>
    <n v="4"/>
  </r>
  <r>
    <s v="ORD1194"/>
    <x v="168"/>
    <s v="P018"/>
    <x v="11"/>
    <x v="4"/>
    <s v="SkinLab"/>
    <x v="1"/>
    <x v="2"/>
    <x v="1"/>
    <x v="3"/>
    <n v="6"/>
    <n v="14718"/>
    <n v="88308"/>
    <n v="21898"/>
    <n v="0"/>
    <n v="131388"/>
    <n v="43080"/>
    <n v="2"/>
  </r>
  <r>
    <s v="ORD1195"/>
    <x v="42"/>
    <s v="P018"/>
    <x v="11"/>
    <x v="4"/>
    <s v="N/A"/>
    <x v="0"/>
    <x v="1"/>
    <x v="1"/>
    <x v="0"/>
    <n v="1"/>
    <n v="7129"/>
    <n v="7129"/>
    <n v="8786"/>
    <n v="0.1"/>
    <n v="8786"/>
    <n v="1657"/>
    <n v="2"/>
  </r>
  <r>
    <s v="ORD1196"/>
    <x v="169"/>
    <s v="P001"/>
    <x v="3"/>
    <x v="3"/>
    <s v="GlowBeauty"/>
    <x v="1"/>
    <x v="1"/>
    <x v="1"/>
    <x v="1"/>
    <n v="2"/>
    <n v="4769"/>
    <n v="9538"/>
    <n v="10033"/>
    <n v="0"/>
    <n v="20066"/>
    <n v="10528"/>
    <s v="N/A"/>
  </r>
  <r>
    <s v="ORD1197"/>
    <x v="51"/>
    <s v="P003"/>
    <x v="13"/>
    <x v="3"/>
    <s v="DermaCare"/>
    <x v="1"/>
    <x v="2"/>
    <x v="1"/>
    <x v="2"/>
    <n v="5"/>
    <n v="9338"/>
    <n v="46690"/>
    <n v="10565"/>
    <n v="0.05"/>
    <n v="52825"/>
    <n v="6135"/>
    <n v="4"/>
  </r>
  <r>
    <s v="ORD1198"/>
    <x v="170"/>
    <s v="P004"/>
    <x v="8"/>
    <x v="3"/>
    <s v="N/A"/>
    <x v="1"/>
    <x v="0"/>
    <x v="2"/>
    <x v="0"/>
    <n v="6"/>
    <n v="6400"/>
    <n v="38400"/>
    <n v="14154"/>
    <n v="0.1"/>
    <n v="84924"/>
    <n v="46524"/>
    <n v="2"/>
  </r>
  <r>
    <s v="ORD1199"/>
    <x v="171"/>
    <s v="P007"/>
    <x v="10"/>
    <x v="2"/>
    <s v="PureSkin"/>
    <x v="1"/>
    <x v="0"/>
    <x v="1"/>
    <x v="0"/>
    <n v="7"/>
    <n v="6707"/>
    <n v="46949"/>
    <n v="10560"/>
    <n v="0"/>
    <n v="73920"/>
    <n v="26971"/>
    <n v="3"/>
  </r>
  <r>
    <s v="ORD1200"/>
    <x v="44"/>
    <s v="P007"/>
    <x v="10"/>
    <x v="2"/>
    <s v="GlowBeauty"/>
    <x v="1"/>
    <x v="1"/>
    <x v="1"/>
    <x v="0"/>
    <n v="6"/>
    <n v="13516"/>
    <n v="81096"/>
    <n v="21104"/>
    <n v="0.02"/>
    <n v="126624"/>
    <n v="45528"/>
    <s v="N/A"/>
  </r>
  <r>
    <s v="ORD1201"/>
    <x v="172"/>
    <s v="P004"/>
    <x v="8"/>
    <x v="3"/>
    <s v="N/A"/>
    <x v="1"/>
    <x v="0"/>
    <x v="1"/>
    <x v="1"/>
    <n v="3"/>
    <n v="4382"/>
    <n v="13146"/>
    <n v="6250"/>
    <n v="0.04"/>
    <n v="18750"/>
    <n v="5604"/>
    <n v="4"/>
  </r>
  <r>
    <s v="ORD1202"/>
    <x v="173"/>
    <s v="P005"/>
    <x v="12"/>
    <x v="3"/>
    <s v="SkinLab"/>
    <x v="0"/>
    <x v="1"/>
    <x v="2"/>
    <x v="0"/>
    <n v="2"/>
    <n v="3583"/>
    <n v="7166"/>
    <n v="10611"/>
    <n v="0.1"/>
    <n v="21222"/>
    <n v="14056"/>
    <n v="1"/>
  </r>
  <r>
    <s v="ORD1203"/>
    <x v="174"/>
    <s v="P014"/>
    <x v="4"/>
    <x v="4"/>
    <s v="DermaCare"/>
    <x v="1"/>
    <x v="0"/>
    <x v="1"/>
    <x v="3"/>
    <n v="7"/>
    <n v="11711"/>
    <n v="81977"/>
    <n v="14742"/>
    <n v="0.02"/>
    <n v="103194"/>
    <n v="21217"/>
    <s v="N/A"/>
  </r>
  <r>
    <s v="ORD1204"/>
    <x v="175"/>
    <s v="P011"/>
    <x v="7"/>
    <x v="1"/>
    <s v=" glowbeauty "/>
    <x v="0"/>
    <x v="0"/>
    <x v="1"/>
    <x v="3"/>
    <n v="6"/>
    <n v="12254"/>
    <n v="73524"/>
    <n v="18720"/>
    <n v="0.04"/>
    <n v="112320"/>
    <n v="38796"/>
    <n v="4"/>
  </r>
  <r>
    <s v="ORD1205"/>
    <x v="176"/>
    <s v="P004"/>
    <x v="8"/>
    <x v="3"/>
    <s v="N/A"/>
    <x v="1"/>
    <x v="2"/>
    <x v="1"/>
    <x v="1"/>
    <n v="3"/>
    <n v="4119"/>
    <n v="12357"/>
    <n v="8780"/>
    <n v="0"/>
    <n v="26340"/>
    <n v="13983"/>
    <n v="5"/>
  </r>
  <r>
    <s v="ORD1206"/>
    <x v="13"/>
    <s v="P007"/>
    <x v="10"/>
    <x v="2"/>
    <s v="GlowBeauty"/>
    <x v="1"/>
    <x v="0"/>
    <x v="1"/>
    <x v="1"/>
    <n v="3"/>
    <n v="6390"/>
    <n v="19170"/>
    <n v="12363"/>
    <n v="0.05"/>
    <n v="37089"/>
    <n v="17919"/>
    <n v="2"/>
  </r>
  <r>
    <s v="ORD1207"/>
    <x v="177"/>
    <s v="P003"/>
    <x v="13"/>
    <x v="3"/>
    <s v="PureSkin"/>
    <x v="0"/>
    <x v="0"/>
    <x v="1"/>
    <x v="3"/>
    <n v="2"/>
    <n v="10614"/>
    <n v="21228"/>
    <n v="18462"/>
    <n v="0.1"/>
    <n v="36924"/>
    <n v="15696"/>
    <s v="N/A"/>
  </r>
  <r>
    <s v="ORD1208"/>
    <x v="178"/>
    <s v="P007"/>
    <x v="10"/>
    <x v="2"/>
    <s v="DermaCare"/>
    <x v="1"/>
    <x v="1"/>
    <x v="1"/>
    <x v="2"/>
    <n v="1"/>
    <n v="3145"/>
    <n v="3145"/>
    <n v="7324"/>
    <n v="0.1"/>
    <n v="7324"/>
    <n v="4179"/>
    <n v="2"/>
  </r>
  <r>
    <s v="ORD1209"/>
    <x v="14"/>
    <s v="P016"/>
    <x v="16"/>
    <x v="4"/>
    <s v="SkinLab"/>
    <x v="1"/>
    <x v="1"/>
    <x v="0"/>
    <x v="2"/>
    <n v="3"/>
    <n v="6686"/>
    <n v="20058"/>
    <n v="8093"/>
    <n v="0.04"/>
    <n v="24279"/>
    <n v="4221"/>
    <s v="N/A"/>
  </r>
  <r>
    <s v="ORD1210"/>
    <x v="179"/>
    <s v="P006"/>
    <x v="9"/>
    <x v="2"/>
    <s v="PureSkin"/>
    <x v="0"/>
    <x v="0"/>
    <x v="1"/>
    <x v="0"/>
    <n v="3"/>
    <n v="1062"/>
    <n v="3186"/>
    <n v="6156"/>
    <n v="0.1"/>
    <n v="18468"/>
    <n v="15282"/>
    <s v="N/A"/>
  </r>
  <r>
    <s v="ORD1211"/>
    <x v="180"/>
    <s v="P002"/>
    <x v="3"/>
    <x v="3"/>
    <s v="SkinLab"/>
    <x v="0"/>
    <x v="0"/>
    <x v="3"/>
    <x v="1"/>
    <n v="8"/>
    <n v="7354"/>
    <n v="58832"/>
    <n v="10190"/>
    <n v="0.02"/>
    <n v="81520"/>
    <n v="22688"/>
    <n v="3"/>
  </r>
  <r>
    <s v="ORD1212"/>
    <x v="72"/>
    <s v="P011"/>
    <x v="7"/>
    <x v="1"/>
    <s v="PureSkin"/>
    <x v="1"/>
    <x v="1"/>
    <x v="1"/>
    <x v="1"/>
    <n v="8"/>
    <n v="3924"/>
    <n v="31392"/>
    <n v="8820"/>
    <n v="0"/>
    <n v="70560"/>
    <n v="39168"/>
    <n v="3"/>
  </r>
  <r>
    <s v="ORD1213"/>
    <x v="181"/>
    <s v="P018"/>
    <x v="11"/>
    <x v="4"/>
    <s v="N/A"/>
    <x v="1"/>
    <x v="1"/>
    <x v="0"/>
    <x v="2"/>
    <n v="4"/>
    <n v="11060"/>
    <n v="44240"/>
    <n v="17407"/>
    <n v="0"/>
    <n v="69628"/>
    <n v="25388"/>
    <n v="4"/>
  </r>
  <r>
    <s v="ORD1214"/>
    <x v="182"/>
    <s v="P005"/>
    <x v="12"/>
    <x v="3"/>
    <s v="DermaCare"/>
    <x v="0"/>
    <x v="1"/>
    <x v="1"/>
    <x v="3"/>
    <n v="2"/>
    <n v="11818"/>
    <n v="23636"/>
    <n v="16164"/>
    <n v="0.1"/>
    <n v="32328"/>
    <n v="8692"/>
    <n v="3"/>
  </r>
  <r>
    <s v="ORD1215"/>
    <x v="74"/>
    <s v="P008"/>
    <x v="2"/>
    <x v="2"/>
    <s v="SkinLab"/>
    <x v="1"/>
    <x v="0"/>
    <x v="2"/>
    <x v="0"/>
    <n v="6"/>
    <n v="7088"/>
    <n v="42528"/>
    <n v="12503"/>
    <n v="0.05"/>
    <n v="75018"/>
    <n v="32490"/>
    <n v="3"/>
  </r>
  <r>
    <s v="ORD1216"/>
    <x v="183"/>
    <s v="P002"/>
    <x v="3"/>
    <x v="3"/>
    <s v="PureSkin"/>
    <x v="0"/>
    <x v="2"/>
    <x v="1"/>
    <x v="1"/>
    <n v="5"/>
    <n v="7326"/>
    <n v="36630"/>
    <n v="8830"/>
    <n v="0.1"/>
    <n v="44150"/>
    <n v="7520"/>
    <n v="4"/>
  </r>
  <r>
    <s v="ORD1217"/>
    <x v="184"/>
    <s v="P010"/>
    <x v="1"/>
    <x v="1"/>
    <s v="GlowBeauty"/>
    <x v="1"/>
    <x v="2"/>
    <x v="1"/>
    <x v="1"/>
    <n v="6"/>
    <n v="12377"/>
    <n v="74262"/>
    <n v="19156"/>
    <n v="0.04"/>
    <n v="114936"/>
    <n v="40674"/>
    <n v="2"/>
  </r>
  <r>
    <s v="ORD1218"/>
    <x v="185"/>
    <s v="P003"/>
    <x v="13"/>
    <x v="3"/>
    <s v="SkinLab"/>
    <x v="1"/>
    <x v="2"/>
    <x v="1"/>
    <x v="1"/>
    <n v="2"/>
    <n v="12008"/>
    <n v="24016"/>
    <n v="17195"/>
    <n v="0.04"/>
    <n v="34390"/>
    <n v="10374"/>
    <s v="N/A"/>
  </r>
  <r>
    <s v="ORD1219"/>
    <x v="186"/>
    <s v="P016"/>
    <x v="16"/>
    <x v="4"/>
    <s v="GlowBeauty"/>
    <x v="0"/>
    <x v="0"/>
    <x v="2"/>
    <x v="3"/>
    <n v="1"/>
    <n v="14413"/>
    <n v="14413"/>
    <n v="21626"/>
    <n v="0.05"/>
    <n v="21626"/>
    <n v="7213"/>
    <n v="2"/>
  </r>
  <r>
    <s v="ORD1220"/>
    <x v="187"/>
    <s v="P003"/>
    <x v="13"/>
    <x v="3"/>
    <s v="DermaCare"/>
    <x v="1"/>
    <x v="2"/>
    <x v="1"/>
    <x v="1"/>
    <n v="2"/>
    <n v="14941"/>
    <n v="29882"/>
    <n v="17556"/>
    <n v="0.1"/>
    <n v="35112"/>
    <n v="5230"/>
    <n v="4"/>
  </r>
  <r>
    <s v="ORD1221"/>
    <x v="115"/>
    <s v="P014"/>
    <x v="4"/>
    <x v="4"/>
    <s v="GlowBeauty"/>
    <x v="1"/>
    <x v="0"/>
    <x v="2"/>
    <x v="1"/>
    <n v="7"/>
    <n v="6277"/>
    <n v="43939"/>
    <n v="7286"/>
    <n v="0.02"/>
    <n v="51002"/>
    <n v="7063"/>
    <s v="N/A"/>
  </r>
  <r>
    <s v="ORD1222"/>
    <x v="69"/>
    <s v="P004"/>
    <x v="8"/>
    <x v="3"/>
    <s v="SkinLab"/>
    <x v="0"/>
    <x v="1"/>
    <x v="3"/>
    <x v="2"/>
    <n v="2"/>
    <n v="5557"/>
    <n v="11114"/>
    <n v="6060"/>
    <n v="0.02"/>
    <n v="12120"/>
    <n v="1006"/>
    <n v="2"/>
  </r>
  <r>
    <s v="ORD1223"/>
    <x v="188"/>
    <s v="P014"/>
    <x v="4"/>
    <x v="4"/>
    <s v="N/A"/>
    <x v="0"/>
    <x v="1"/>
    <x v="0"/>
    <x v="0"/>
    <n v="4"/>
    <n v="11903"/>
    <n v="47612"/>
    <n v="17167"/>
    <n v="0"/>
    <n v="68668"/>
    <n v="21056"/>
    <n v="3"/>
  </r>
  <r>
    <s v="ORD1224"/>
    <x v="189"/>
    <s v="P008"/>
    <x v="2"/>
    <x v="2"/>
    <s v="N/A"/>
    <x v="0"/>
    <x v="0"/>
    <x v="3"/>
    <x v="0"/>
    <n v="1"/>
    <n v="12103"/>
    <n v="12103"/>
    <n v="16398"/>
    <n v="0"/>
    <n v="16398"/>
    <n v="4295"/>
    <n v="5"/>
  </r>
  <r>
    <s v="ORD1225"/>
    <x v="86"/>
    <s v="P006"/>
    <x v="9"/>
    <x v="2"/>
    <s v="PureSkin"/>
    <x v="1"/>
    <x v="2"/>
    <x v="1"/>
    <x v="0"/>
    <n v="2"/>
    <n v="4671"/>
    <n v="9342"/>
    <n v="9567"/>
    <n v="0.1"/>
    <n v="19134"/>
    <n v="9792"/>
    <n v="4"/>
  </r>
  <r>
    <s v="ORD1226"/>
    <x v="116"/>
    <s v="P009"/>
    <x v="14"/>
    <x v="1"/>
    <s v="GlowBeauty"/>
    <x v="0"/>
    <x v="2"/>
    <x v="1"/>
    <x v="1"/>
    <n v="6"/>
    <n v="3821"/>
    <n v="22926"/>
    <n v="11789"/>
    <n v="0.1"/>
    <n v="70734"/>
    <n v="47808"/>
    <n v="5"/>
  </r>
  <r>
    <s v="ORD1227"/>
    <x v="190"/>
    <s v="P011"/>
    <x v="7"/>
    <x v="1"/>
    <s v="GlowBeauty"/>
    <x v="1"/>
    <x v="2"/>
    <x v="1"/>
    <x v="0"/>
    <n v="3"/>
    <n v="4716"/>
    <n v="14148"/>
    <n v="10198"/>
    <n v="0.04"/>
    <n v="30594"/>
    <n v="16446"/>
    <n v="2"/>
  </r>
  <r>
    <s v="ORD1228"/>
    <x v="157"/>
    <s v="P005"/>
    <x v="12"/>
    <x v="3"/>
    <s v="DermaCare"/>
    <x v="1"/>
    <x v="2"/>
    <x v="3"/>
    <x v="3"/>
    <n v="5"/>
    <n v="8544"/>
    <n v="42720"/>
    <n v="13130"/>
    <n v="0.1"/>
    <n v="65650"/>
    <n v="22930"/>
    <n v="4"/>
  </r>
  <r>
    <s v="ORD1229"/>
    <x v="191"/>
    <s v="P003"/>
    <x v="13"/>
    <x v="3"/>
    <s v=" glowbeauty "/>
    <x v="0"/>
    <x v="0"/>
    <x v="3"/>
    <x v="3"/>
    <n v="2"/>
    <n v="6457"/>
    <n v="12914"/>
    <n v="11805"/>
    <n v="0.04"/>
    <n v="23610"/>
    <n v="10696"/>
    <n v="1"/>
  </r>
  <r>
    <s v="ORD1230"/>
    <x v="57"/>
    <s v="P001"/>
    <x v="3"/>
    <x v="3"/>
    <s v="N/A"/>
    <x v="1"/>
    <x v="1"/>
    <x v="1"/>
    <x v="3"/>
    <n v="5"/>
    <n v="12382"/>
    <n v="61910"/>
    <n v="18893"/>
    <n v="0.05"/>
    <n v="94465"/>
    <n v="32555"/>
    <n v="4"/>
  </r>
  <r>
    <s v="ORD1231"/>
    <x v="192"/>
    <s v="P001"/>
    <x v="3"/>
    <x v="3"/>
    <s v="GlowBeauty"/>
    <x v="0"/>
    <x v="2"/>
    <x v="1"/>
    <x v="2"/>
    <n v="5"/>
    <n v="12822"/>
    <n v="64110"/>
    <n v="18787"/>
    <n v="0.02"/>
    <n v="93935"/>
    <n v="29825"/>
    <n v="3"/>
  </r>
  <r>
    <s v="ORD1232"/>
    <x v="193"/>
    <s v="P015"/>
    <x v="5"/>
    <x v="4"/>
    <s v="DermaCare"/>
    <x v="0"/>
    <x v="2"/>
    <x v="3"/>
    <x v="0"/>
    <n v="5"/>
    <n v="10919"/>
    <n v="54595"/>
    <n v="15675"/>
    <n v="0.05"/>
    <n v="78375"/>
    <n v="23780"/>
    <n v="4"/>
  </r>
  <r>
    <s v="ORD1233"/>
    <x v="2"/>
    <s v="P013"/>
    <x v="15"/>
    <x v="0"/>
    <s v="DermaCare"/>
    <x v="1"/>
    <x v="1"/>
    <x v="2"/>
    <x v="3"/>
    <n v="4"/>
    <n v="4004"/>
    <n v="16016"/>
    <n v="8400"/>
    <n v="0"/>
    <n v="33600"/>
    <n v="17584"/>
    <n v="3"/>
  </r>
  <r>
    <s v="ORD1234"/>
    <x v="194"/>
    <s v="P005"/>
    <x v="12"/>
    <x v="3"/>
    <s v="N/A"/>
    <x v="1"/>
    <x v="2"/>
    <x v="1"/>
    <x v="2"/>
    <n v="5"/>
    <n v="12426"/>
    <n v="62130"/>
    <n v="13176"/>
    <n v="0.1"/>
    <n v="65880"/>
    <n v="3750"/>
    <n v="1"/>
  </r>
  <r>
    <s v="ORD1235"/>
    <x v="195"/>
    <s v="P011"/>
    <x v="7"/>
    <x v="1"/>
    <s v=" glowbeauty "/>
    <x v="0"/>
    <x v="1"/>
    <x v="3"/>
    <x v="3"/>
    <n v="8"/>
    <n v="11549"/>
    <n v="92392"/>
    <n v="18310"/>
    <n v="0.02"/>
    <n v="146480"/>
    <n v="54088"/>
    <n v="1"/>
  </r>
  <r>
    <s v="ORD1236"/>
    <x v="196"/>
    <s v="P011"/>
    <x v="7"/>
    <x v="1"/>
    <s v="GlowBeauty"/>
    <x v="1"/>
    <x v="1"/>
    <x v="3"/>
    <x v="1"/>
    <n v="8"/>
    <n v="7883"/>
    <n v="63064"/>
    <n v="14345"/>
    <n v="0.1"/>
    <n v="114760"/>
    <n v="51696"/>
    <n v="5"/>
  </r>
  <r>
    <s v="ORD1237"/>
    <x v="197"/>
    <s v="P011"/>
    <x v="7"/>
    <x v="1"/>
    <s v="N/A"/>
    <x v="0"/>
    <x v="2"/>
    <x v="1"/>
    <x v="3"/>
    <n v="5"/>
    <n v="2595"/>
    <n v="12975"/>
    <n v="5150"/>
    <n v="0.04"/>
    <n v="25750"/>
    <n v="12775"/>
    <n v="2"/>
  </r>
  <r>
    <s v="ORD1238"/>
    <x v="198"/>
    <s v="P003"/>
    <x v="13"/>
    <x v="3"/>
    <s v="PureSkin"/>
    <x v="0"/>
    <x v="0"/>
    <x v="2"/>
    <x v="1"/>
    <n v="4"/>
    <n v="8218"/>
    <n v="32872"/>
    <n v="13054"/>
    <n v="0.02"/>
    <n v="52216"/>
    <n v="19344"/>
    <n v="1"/>
  </r>
  <r>
    <s v="ORD1239"/>
    <x v="40"/>
    <s v="P012"/>
    <x v="0"/>
    <x v="0"/>
    <s v="SkinLab"/>
    <x v="0"/>
    <x v="2"/>
    <x v="0"/>
    <x v="1"/>
    <n v="5"/>
    <n v="3241"/>
    <n v="16205"/>
    <n v="4239"/>
    <n v="0.05"/>
    <n v="21195"/>
    <n v="4990"/>
    <n v="1"/>
  </r>
  <r>
    <s v="ORD1240"/>
    <x v="199"/>
    <s v="P010"/>
    <x v="1"/>
    <x v="1"/>
    <s v="PureSkin"/>
    <x v="1"/>
    <x v="1"/>
    <x v="0"/>
    <x v="1"/>
    <n v="6"/>
    <n v="9827"/>
    <n v="58962"/>
    <n v="12584"/>
    <n v="0"/>
    <n v="75504"/>
    <n v="16542"/>
    <n v="1"/>
  </r>
  <r>
    <s v="ORD1241"/>
    <x v="200"/>
    <s v="P012"/>
    <x v="0"/>
    <x v="0"/>
    <s v="GlowBeauty"/>
    <x v="1"/>
    <x v="0"/>
    <x v="1"/>
    <x v="3"/>
    <n v="4"/>
    <n v="12568"/>
    <n v="50272"/>
    <n v="17699"/>
    <n v="0.05"/>
    <n v="70796"/>
    <n v="20524"/>
    <n v="2"/>
  </r>
  <r>
    <s v="ORD1242"/>
    <x v="201"/>
    <s v="P001"/>
    <x v="3"/>
    <x v="3"/>
    <s v=" glowbeauty "/>
    <x v="1"/>
    <x v="2"/>
    <x v="0"/>
    <x v="0"/>
    <n v="8"/>
    <n v="4862"/>
    <n v="38896"/>
    <n v="8091"/>
    <n v="0.1"/>
    <n v="64728"/>
    <n v="25832"/>
    <n v="3"/>
  </r>
  <r>
    <s v="ORD1243"/>
    <x v="202"/>
    <s v="P005"/>
    <x v="12"/>
    <x v="3"/>
    <s v="DermaCare"/>
    <x v="0"/>
    <x v="0"/>
    <x v="0"/>
    <x v="0"/>
    <n v="5"/>
    <n v="5545"/>
    <n v="27725"/>
    <n v="12856"/>
    <n v="0"/>
    <n v="64280"/>
    <n v="36555"/>
    <s v="N/A"/>
  </r>
  <r>
    <s v="ORD1244"/>
    <x v="203"/>
    <s v="P012"/>
    <x v="0"/>
    <x v="0"/>
    <s v="SkinLab"/>
    <x v="1"/>
    <x v="2"/>
    <x v="0"/>
    <x v="2"/>
    <n v="1"/>
    <n v="5703"/>
    <n v="5703"/>
    <n v="13524"/>
    <n v="0.1"/>
    <n v="13524"/>
    <n v="7821"/>
    <s v="N/A"/>
  </r>
  <r>
    <s v="ORD1245"/>
    <x v="204"/>
    <s v="P017"/>
    <x v="6"/>
    <x v="4"/>
    <s v=" glowbeauty "/>
    <x v="1"/>
    <x v="1"/>
    <x v="2"/>
    <x v="2"/>
    <n v="1"/>
    <n v="13357"/>
    <n v="13357"/>
    <n v="18448"/>
    <n v="0.04"/>
    <n v="18448"/>
    <n v="5091"/>
    <n v="5"/>
  </r>
  <r>
    <s v="ORD1246"/>
    <x v="17"/>
    <s v="P015"/>
    <x v="5"/>
    <x v="4"/>
    <s v="GlowBeauty"/>
    <x v="1"/>
    <x v="0"/>
    <x v="0"/>
    <x v="3"/>
    <n v="2"/>
    <n v="5975"/>
    <n v="11950"/>
    <n v="11083"/>
    <n v="0.04"/>
    <n v="22166"/>
    <n v="10216"/>
    <n v="1"/>
  </r>
  <r>
    <s v="ORD1247"/>
    <x v="44"/>
    <s v="P015"/>
    <x v="5"/>
    <x v="4"/>
    <s v="N/A"/>
    <x v="0"/>
    <x v="1"/>
    <x v="3"/>
    <x v="2"/>
    <n v="7"/>
    <n v="11161"/>
    <n v="78127"/>
    <n v="15241"/>
    <n v="0.02"/>
    <n v="106687"/>
    <n v="28560"/>
    <n v="1"/>
  </r>
  <r>
    <s v="ORD1248"/>
    <x v="169"/>
    <s v="P004"/>
    <x v="8"/>
    <x v="3"/>
    <s v="N/A"/>
    <x v="0"/>
    <x v="1"/>
    <x v="1"/>
    <x v="2"/>
    <n v="8"/>
    <n v="2791"/>
    <n v="22328"/>
    <n v="9596"/>
    <n v="0.05"/>
    <n v="76768"/>
    <n v="54440"/>
    <n v="1"/>
  </r>
  <r>
    <s v="ORD1249"/>
    <x v="33"/>
    <s v="P001"/>
    <x v="3"/>
    <x v="3"/>
    <s v="PureSkin"/>
    <x v="0"/>
    <x v="2"/>
    <x v="1"/>
    <x v="2"/>
    <n v="3"/>
    <n v="13391"/>
    <n v="40173"/>
    <n v="20375"/>
    <n v="0"/>
    <n v="61125"/>
    <n v="20952"/>
    <n v="5"/>
  </r>
  <r>
    <s v="ORD1250"/>
    <x v="205"/>
    <s v="P002"/>
    <x v="3"/>
    <x v="3"/>
    <s v="GlowBeauty"/>
    <x v="1"/>
    <x v="2"/>
    <x v="2"/>
    <x v="2"/>
    <n v="2"/>
    <n v="7471"/>
    <n v="14942"/>
    <n v="14137"/>
    <n v="0.1"/>
    <n v="28274"/>
    <n v="13332"/>
    <n v="5"/>
  </r>
  <r>
    <s v="ORD1251"/>
    <x v="206"/>
    <s v="P009"/>
    <x v="14"/>
    <x v="1"/>
    <s v="SkinLab"/>
    <x v="1"/>
    <x v="0"/>
    <x v="1"/>
    <x v="0"/>
    <n v="2"/>
    <n v="4187"/>
    <n v="8374"/>
    <n v="11355"/>
    <n v="0.02"/>
    <n v="22710"/>
    <n v="14336"/>
    <n v="1"/>
  </r>
  <r>
    <s v="ORD1252"/>
    <x v="207"/>
    <s v="P015"/>
    <x v="5"/>
    <x v="4"/>
    <s v="N/A"/>
    <x v="0"/>
    <x v="1"/>
    <x v="1"/>
    <x v="0"/>
    <n v="6"/>
    <n v="6316"/>
    <n v="37896"/>
    <n v="7057"/>
    <n v="0.02"/>
    <n v="42342"/>
    <n v="4446"/>
    <n v="2"/>
  </r>
  <r>
    <s v="ORD1253"/>
    <x v="208"/>
    <s v="P015"/>
    <x v="5"/>
    <x v="4"/>
    <s v=" glowbeauty "/>
    <x v="0"/>
    <x v="1"/>
    <x v="0"/>
    <x v="2"/>
    <n v="5"/>
    <n v="8525"/>
    <n v="42625"/>
    <n v="10617"/>
    <n v="0.1"/>
    <n v="53085"/>
    <n v="10460"/>
    <s v="N/A"/>
  </r>
  <r>
    <s v="ORD1254"/>
    <x v="209"/>
    <s v="P013"/>
    <x v="15"/>
    <x v="0"/>
    <s v="N/A"/>
    <x v="1"/>
    <x v="1"/>
    <x v="3"/>
    <x v="1"/>
    <n v="1"/>
    <n v="9007"/>
    <n v="9007"/>
    <n v="11968"/>
    <n v="0.02"/>
    <n v="11968"/>
    <n v="2961"/>
    <s v="N/A"/>
  </r>
  <r>
    <s v="ORD1255"/>
    <x v="210"/>
    <s v="P018"/>
    <x v="11"/>
    <x v="4"/>
    <s v="GlowBeauty"/>
    <x v="1"/>
    <x v="1"/>
    <x v="1"/>
    <x v="2"/>
    <n v="8"/>
    <n v="11303"/>
    <n v="90424"/>
    <n v="16802"/>
    <n v="0.02"/>
    <n v="134416"/>
    <n v="43992"/>
    <n v="3"/>
  </r>
  <r>
    <s v="ORD1256"/>
    <x v="211"/>
    <s v="P012"/>
    <x v="0"/>
    <x v="0"/>
    <s v="SkinLab"/>
    <x v="1"/>
    <x v="0"/>
    <x v="1"/>
    <x v="2"/>
    <n v="4"/>
    <n v="6206"/>
    <n v="24824"/>
    <n v="10171"/>
    <n v="0.02"/>
    <n v="40684"/>
    <n v="15860"/>
    <n v="1"/>
  </r>
  <r>
    <s v="ORD1257"/>
    <x v="177"/>
    <s v="P006"/>
    <x v="9"/>
    <x v="2"/>
    <s v=" glowbeauty "/>
    <x v="1"/>
    <x v="0"/>
    <x v="1"/>
    <x v="0"/>
    <n v="3"/>
    <n v="13090"/>
    <n v="39270"/>
    <n v="15434"/>
    <n v="0.05"/>
    <n v="46302"/>
    <n v="7032"/>
    <n v="5"/>
  </r>
  <r>
    <s v="ORD1258"/>
    <x v="26"/>
    <s v="P015"/>
    <x v="5"/>
    <x v="4"/>
    <s v="PureSkin"/>
    <x v="0"/>
    <x v="1"/>
    <x v="1"/>
    <x v="2"/>
    <n v="1"/>
    <n v="14612"/>
    <n v="14612"/>
    <n v="16879"/>
    <n v="0.02"/>
    <n v="16879"/>
    <n v="2267"/>
    <n v="2"/>
  </r>
  <r>
    <s v="ORD1259"/>
    <x v="212"/>
    <s v="P010"/>
    <x v="1"/>
    <x v="1"/>
    <s v="SkinLab"/>
    <x v="0"/>
    <x v="1"/>
    <x v="1"/>
    <x v="2"/>
    <n v="8"/>
    <n v="9788"/>
    <n v="78304"/>
    <n v="15510"/>
    <n v="0.05"/>
    <n v="124080"/>
    <n v="45776"/>
    <n v="4"/>
  </r>
  <r>
    <s v="ORD1260"/>
    <x v="213"/>
    <s v="P006"/>
    <x v="9"/>
    <x v="2"/>
    <s v="SkinLab"/>
    <x v="1"/>
    <x v="1"/>
    <x v="0"/>
    <x v="2"/>
    <n v="4"/>
    <n v="1007"/>
    <n v="4028"/>
    <n v="6074"/>
    <n v="0.05"/>
    <n v="24296"/>
    <n v="20268"/>
    <n v="5"/>
  </r>
  <r>
    <s v="ORD1261"/>
    <x v="214"/>
    <s v="P012"/>
    <x v="0"/>
    <x v="0"/>
    <s v="N/A"/>
    <x v="0"/>
    <x v="0"/>
    <x v="2"/>
    <x v="1"/>
    <n v="2"/>
    <n v="14064"/>
    <n v="28128"/>
    <n v="15811"/>
    <n v="0.04"/>
    <n v="31622"/>
    <n v="3494"/>
    <s v="N/A"/>
  </r>
  <r>
    <s v="ORD1262"/>
    <x v="215"/>
    <s v="P001"/>
    <x v="3"/>
    <x v="3"/>
    <s v="GlowBeauty"/>
    <x v="1"/>
    <x v="1"/>
    <x v="0"/>
    <x v="3"/>
    <n v="1"/>
    <n v="10613"/>
    <n v="10613"/>
    <n v="13650"/>
    <n v="0.05"/>
    <n v="13650"/>
    <n v="3037"/>
    <n v="3"/>
  </r>
  <r>
    <s v="ORD1263"/>
    <x v="216"/>
    <s v="P007"/>
    <x v="10"/>
    <x v="2"/>
    <s v="DermaCare"/>
    <x v="1"/>
    <x v="0"/>
    <x v="3"/>
    <x v="1"/>
    <n v="3"/>
    <n v="4881"/>
    <n v="14643"/>
    <n v="11268"/>
    <n v="0"/>
    <n v="33804"/>
    <n v="19161"/>
    <n v="2"/>
  </r>
  <r>
    <s v="ORD1264"/>
    <x v="217"/>
    <s v="P004"/>
    <x v="8"/>
    <x v="3"/>
    <s v="SkinLab"/>
    <x v="0"/>
    <x v="0"/>
    <x v="3"/>
    <x v="3"/>
    <n v="8"/>
    <n v="7410"/>
    <n v="59280"/>
    <n v="9225"/>
    <n v="0.04"/>
    <n v="73800"/>
    <n v="14520"/>
    <n v="4"/>
  </r>
  <r>
    <s v="ORD1265"/>
    <x v="218"/>
    <s v="P005"/>
    <x v="12"/>
    <x v="3"/>
    <s v="PureSkin"/>
    <x v="1"/>
    <x v="2"/>
    <x v="0"/>
    <x v="3"/>
    <n v="8"/>
    <n v="2966"/>
    <n v="23728"/>
    <n v="7467"/>
    <n v="0.05"/>
    <n v="59736"/>
    <n v="36008"/>
    <s v="N/A"/>
  </r>
  <r>
    <s v="ORD1266"/>
    <x v="219"/>
    <s v="P005"/>
    <x v="12"/>
    <x v="3"/>
    <s v="N/A"/>
    <x v="0"/>
    <x v="2"/>
    <x v="3"/>
    <x v="3"/>
    <n v="8"/>
    <n v="11069"/>
    <n v="88552"/>
    <n v="17339"/>
    <n v="0.1"/>
    <n v="138712"/>
    <n v="50160"/>
    <n v="3"/>
  </r>
  <r>
    <s v="ORD1267"/>
    <x v="220"/>
    <s v="P016"/>
    <x v="16"/>
    <x v="4"/>
    <s v=" glowbeauty "/>
    <x v="1"/>
    <x v="2"/>
    <x v="1"/>
    <x v="2"/>
    <n v="5"/>
    <n v="12257"/>
    <n v="61285"/>
    <n v="15139"/>
    <n v="0.05"/>
    <n v="75695"/>
    <n v="14410"/>
    <n v="5"/>
  </r>
  <r>
    <s v="ORD1268"/>
    <x v="91"/>
    <s v="P012"/>
    <x v="0"/>
    <x v="0"/>
    <s v="N/A"/>
    <x v="1"/>
    <x v="1"/>
    <x v="1"/>
    <x v="3"/>
    <n v="8"/>
    <n v="2914"/>
    <n v="23312"/>
    <n v="8386"/>
    <n v="0.1"/>
    <n v="67088"/>
    <n v="43776"/>
    <n v="5"/>
  </r>
  <r>
    <s v="ORD1269"/>
    <x v="221"/>
    <s v="P016"/>
    <x v="16"/>
    <x v="4"/>
    <s v="PureSkin"/>
    <x v="0"/>
    <x v="2"/>
    <x v="1"/>
    <x v="1"/>
    <n v="4"/>
    <n v="5433"/>
    <n v="21732"/>
    <n v="13297"/>
    <n v="0.02"/>
    <n v="53188"/>
    <n v="31456"/>
    <s v="N/A"/>
  </r>
  <r>
    <s v="ORD1270"/>
    <x v="94"/>
    <s v="P005"/>
    <x v="12"/>
    <x v="3"/>
    <s v=" glowbeauty "/>
    <x v="1"/>
    <x v="2"/>
    <x v="0"/>
    <x v="3"/>
    <n v="7"/>
    <n v="4088"/>
    <n v="28616"/>
    <n v="10505"/>
    <n v="0.05"/>
    <n v="73535"/>
    <n v="44919"/>
    <n v="1"/>
  </r>
  <r>
    <s v="ORD1271"/>
    <x v="118"/>
    <s v="P011"/>
    <x v="7"/>
    <x v="1"/>
    <s v="SkinLab"/>
    <x v="1"/>
    <x v="1"/>
    <x v="1"/>
    <x v="2"/>
    <n v="5"/>
    <n v="14562"/>
    <n v="72810"/>
    <n v="15078"/>
    <n v="0.1"/>
    <n v="75390"/>
    <n v="2580"/>
    <n v="3"/>
  </r>
  <r>
    <s v="ORD1272"/>
    <x v="73"/>
    <s v="P016"/>
    <x v="16"/>
    <x v="4"/>
    <s v="GlowBeauty"/>
    <x v="0"/>
    <x v="0"/>
    <x v="1"/>
    <x v="3"/>
    <n v="8"/>
    <n v="2074"/>
    <n v="16592"/>
    <n v="6141"/>
    <n v="0"/>
    <n v="49128"/>
    <n v="32536"/>
    <n v="2"/>
  </r>
  <r>
    <s v="ORD1273"/>
    <x v="107"/>
    <s v="P001"/>
    <x v="3"/>
    <x v="3"/>
    <s v="SkinLab"/>
    <x v="0"/>
    <x v="2"/>
    <x v="1"/>
    <x v="1"/>
    <n v="6"/>
    <n v="10132"/>
    <n v="60792"/>
    <n v="12881"/>
    <n v="0"/>
    <n v="77286"/>
    <n v="16494"/>
    <s v="N/A"/>
  </r>
  <r>
    <s v="ORD1274"/>
    <x v="222"/>
    <s v="P001"/>
    <x v="3"/>
    <x v="3"/>
    <s v="PureSkin"/>
    <x v="0"/>
    <x v="0"/>
    <x v="0"/>
    <x v="3"/>
    <n v="1"/>
    <n v="9760"/>
    <n v="9760"/>
    <n v="10297"/>
    <n v="0"/>
    <n v="10297"/>
    <n v="537"/>
    <n v="4"/>
  </r>
  <r>
    <s v="ORD1275"/>
    <x v="64"/>
    <s v="P010"/>
    <x v="1"/>
    <x v="1"/>
    <s v="N/A"/>
    <x v="1"/>
    <x v="1"/>
    <x v="2"/>
    <x v="3"/>
    <n v="6"/>
    <n v="6766"/>
    <n v="40596"/>
    <n v="8755"/>
    <n v="0"/>
    <n v="52530"/>
    <n v="11934"/>
    <n v="5"/>
  </r>
  <r>
    <s v="ORD1276"/>
    <x v="223"/>
    <s v="P002"/>
    <x v="3"/>
    <x v="3"/>
    <s v="GlowBeauty"/>
    <x v="1"/>
    <x v="0"/>
    <x v="3"/>
    <x v="0"/>
    <n v="2"/>
    <n v="14963"/>
    <n v="29926"/>
    <n v="21305"/>
    <n v="0.1"/>
    <n v="42610"/>
    <n v="12684"/>
    <n v="4"/>
  </r>
  <r>
    <s v="ORD1277"/>
    <x v="224"/>
    <s v="P010"/>
    <x v="1"/>
    <x v="1"/>
    <s v="N/A"/>
    <x v="1"/>
    <x v="0"/>
    <x v="1"/>
    <x v="3"/>
    <n v="4"/>
    <n v="1719"/>
    <n v="6876"/>
    <n v="3665"/>
    <n v="0"/>
    <n v="14660"/>
    <n v="7784"/>
    <n v="4"/>
  </r>
  <r>
    <s v="ORD1278"/>
    <x v="63"/>
    <s v="P010"/>
    <x v="1"/>
    <x v="1"/>
    <s v="N/A"/>
    <x v="1"/>
    <x v="0"/>
    <x v="1"/>
    <x v="2"/>
    <n v="4"/>
    <n v="1117"/>
    <n v="4468"/>
    <n v="4655"/>
    <n v="0.05"/>
    <n v="18620"/>
    <n v="14152"/>
    <s v="N/A"/>
  </r>
  <r>
    <s v="ORD1279"/>
    <x v="163"/>
    <s v="P005"/>
    <x v="12"/>
    <x v="3"/>
    <s v="N/A"/>
    <x v="0"/>
    <x v="0"/>
    <x v="2"/>
    <x v="2"/>
    <n v="5"/>
    <n v="11431"/>
    <n v="57155"/>
    <n v="14392"/>
    <n v="0.05"/>
    <n v="71960"/>
    <n v="14805"/>
    <n v="4"/>
  </r>
  <r>
    <s v="ORD1280"/>
    <x v="44"/>
    <s v="P003"/>
    <x v="13"/>
    <x v="3"/>
    <s v=" glowbeauty "/>
    <x v="1"/>
    <x v="0"/>
    <x v="1"/>
    <x v="2"/>
    <n v="5"/>
    <n v="7893"/>
    <n v="39465"/>
    <n v="9416"/>
    <n v="0.1"/>
    <n v="47080"/>
    <n v="7615"/>
    <s v="N/A"/>
  </r>
  <r>
    <s v="ORD1281"/>
    <x v="206"/>
    <s v="P014"/>
    <x v="4"/>
    <x v="4"/>
    <s v="DermaCare"/>
    <x v="1"/>
    <x v="2"/>
    <x v="0"/>
    <x v="2"/>
    <n v="6"/>
    <n v="14896"/>
    <n v="89376"/>
    <n v="18065"/>
    <n v="0"/>
    <n v="108390"/>
    <n v="19014"/>
    <n v="5"/>
  </r>
  <r>
    <s v="ORD1282"/>
    <x v="225"/>
    <s v="P013"/>
    <x v="15"/>
    <x v="0"/>
    <s v=" glowbeauty "/>
    <x v="0"/>
    <x v="2"/>
    <x v="1"/>
    <x v="3"/>
    <n v="1"/>
    <n v="10531"/>
    <n v="10531"/>
    <n v="18341"/>
    <n v="0"/>
    <n v="18341"/>
    <n v="7810"/>
    <n v="4"/>
  </r>
  <r>
    <s v="ORD1283"/>
    <x v="226"/>
    <s v="P008"/>
    <x v="2"/>
    <x v="2"/>
    <s v="SkinLab"/>
    <x v="1"/>
    <x v="1"/>
    <x v="0"/>
    <x v="2"/>
    <n v="2"/>
    <n v="10394"/>
    <n v="20788"/>
    <n v="15286"/>
    <n v="0.05"/>
    <n v="30572"/>
    <n v="9784"/>
    <s v="N/A"/>
  </r>
  <r>
    <s v="ORD1284"/>
    <x v="227"/>
    <s v="P010"/>
    <x v="1"/>
    <x v="1"/>
    <s v="DermaCare"/>
    <x v="1"/>
    <x v="0"/>
    <x v="1"/>
    <x v="3"/>
    <n v="2"/>
    <n v="9631"/>
    <n v="19262"/>
    <n v="17433"/>
    <n v="0.04"/>
    <n v="34866"/>
    <n v="15604"/>
    <n v="5"/>
  </r>
  <r>
    <s v="ORD1285"/>
    <x v="108"/>
    <s v="P009"/>
    <x v="14"/>
    <x v="1"/>
    <s v="DermaCare"/>
    <x v="1"/>
    <x v="1"/>
    <x v="1"/>
    <x v="0"/>
    <n v="1"/>
    <n v="11453"/>
    <n v="11453"/>
    <n v="17862"/>
    <n v="0"/>
    <n v="17862"/>
    <n v="6409"/>
    <n v="5"/>
  </r>
  <r>
    <s v="ORD1286"/>
    <x v="228"/>
    <s v="P018"/>
    <x v="11"/>
    <x v="4"/>
    <s v="PureSkin"/>
    <x v="1"/>
    <x v="2"/>
    <x v="3"/>
    <x v="3"/>
    <n v="4"/>
    <n v="13360"/>
    <n v="53440"/>
    <n v="16900"/>
    <n v="0.1"/>
    <n v="67600"/>
    <n v="14160"/>
    <n v="5"/>
  </r>
  <r>
    <s v="ORD1287"/>
    <x v="27"/>
    <s v="P016"/>
    <x v="16"/>
    <x v="4"/>
    <s v="DermaCare"/>
    <x v="0"/>
    <x v="0"/>
    <x v="1"/>
    <x v="2"/>
    <n v="1"/>
    <n v="7067"/>
    <n v="7067"/>
    <n v="11165"/>
    <n v="0.02"/>
    <n v="11165"/>
    <n v="4098"/>
    <n v="2"/>
  </r>
  <r>
    <s v="ORD1288"/>
    <x v="184"/>
    <s v="P017"/>
    <x v="6"/>
    <x v="4"/>
    <s v=" glowbeauty "/>
    <x v="1"/>
    <x v="0"/>
    <x v="1"/>
    <x v="3"/>
    <n v="8"/>
    <n v="5492"/>
    <n v="43936"/>
    <n v="13001"/>
    <n v="0.05"/>
    <n v="104008"/>
    <n v="60072"/>
    <n v="1"/>
  </r>
  <r>
    <s v="ORD1289"/>
    <x v="229"/>
    <s v="P015"/>
    <x v="5"/>
    <x v="4"/>
    <s v="SkinLab"/>
    <x v="0"/>
    <x v="0"/>
    <x v="0"/>
    <x v="2"/>
    <n v="6"/>
    <n v="5203"/>
    <n v="31218"/>
    <n v="6461"/>
    <n v="0.05"/>
    <n v="38766"/>
    <n v="7548"/>
    <n v="3"/>
  </r>
  <r>
    <s v="ORD1290"/>
    <x v="230"/>
    <s v="P002"/>
    <x v="3"/>
    <x v="3"/>
    <s v="DermaCare"/>
    <x v="0"/>
    <x v="2"/>
    <x v="0"/>
    <x v="1"/>
    <n v="5"/>
    <n v="4314"/>
    <n v="21570"/>
    <n v="7125"/>
    <n v="0"/>
    <n v="35625"/>
    <n v="14055"/>
    <n v="2"/>
  </r>
  <r>
    <s v="ORD1291"/>
    <x v="231"/>
    <s v="P016"/>
    <x v="16"/>
    <x v="4"/>
    <s v="GlowBeauty"/>
    <x v="0"/>
    <x v="1"/>
    <x v="3"/>
    <x v="3"/>
    <n v="2"/>
    <n v="8130"/>
    <n v="16260"/>
    <n v="10082"/>
    <n v="0.04"/>
    <n v="20164"/>
    <n v="3904"/>
    <n v="4"/>
  </r>
  <r>
    <s v="ORD1292"/>
    <x v="232"/>
    <s v="P003"/>
    <x v="13"/>
    <x v="3"/>
    <s v=" glowbeauty "/>
    <x v="1"/>
    <x v="2"/>
    <x v="0"/>
    <x v="0"/>
    <n v="4"/>
    <n v="6380"/>
    <n v="25520"/>
    <n v="8832"/>
    <n v="0.1"/>
    <n v="35328"/>
    <n v="9808"/>
    <n v="5"/>
  </r>
  <r>
    <s v="ORD1293"/>
    <x v="233"/>
    <s v="P018"/>
    <x v="11"/>
    <x v="4"/>
    <s v="GlowBeauty"/>
    <x v="1"/>
    <x v="2"/>
    <x v="0"/>
    <x v="3"/>
    <n v="4"/>
    <n v="4075"/>
    <n v="16300"/>
    <n v="9092"/>
    <n v="0.04"/>
    <n v="36368"/>
    <n v="20068"/>
    <n v="5"/>
  </r>
  <r>
    <s v="ORD1294"/>
    <x v="234"/>
    <s v="P005"/>
    <x v="12"/>
    <x v="3"/>
    <s v="SkinLab"/>
    <x v="1"/>
    <x v="1"/>
    <x v="1"/>
    <x v="0"/>
    <n v="3"/>
    <n v="14563"/>
    <n v="43689"/>
    <n v="16807"/>
    <n v="0.02"/>
    <n v="50421"/>
    <n v="6732"/>
    <n v="5"/>
  </r>
  <r>
    <s v="ORD1295"/>
    <x v="121"/>
    <s v="P012"/>
    <x v="0"/>
    <x v="0"/>
    <s v="SkinLab"/>
    <x v="1"/>
    <x v="2"/>
    <x v="2"/>
    <x v="3"/>
    <n v="2"/>
    <n v="9833"/>
    <n v="19666"/>
    <n v="14606"/>
    <n v="0.1"/>
    <n v="29212"/>
    <n v="9546"/>
    <s v="N/A"/>
  </r>
  <r>
    <s v="ORD1296"/>
    <x v="235"/>
    <s v="P011"/>
    <x v="7"/>
    <x v="1"/>
    <s v="GlowBeauty"/>
    <x v="1"/>
    <x v="1"/>
    <x v="2"/>
    <x v="3"/>
    <n v="1"/>
    <n v="3221"/>
    <n v="3221"/>
    <n v="6619"/>
    <n v="0.02"/>
    <n v="6619"/>
    <n v="3398"/>
    <n v="2"/>
  </r>
  <r>
    <s v="ORD1297"/>
    <x v="113"/>
    <s v="P001"/>
    <x v="3"/>
    <x v="3"/>
    <s v="PureSkin"/>
    <x v="0"/>
    <x v="1"/>
    <x v="1"/>
    <x v="1"/>
    <n v="2"/>
    <n v="7765"/>
    <n v="15530"/>
    <n v="8311"/>
    <n v="0.04"/>
    <n v="16622"/>
    <n v="1092"/>
    <n v="3"/>
  </r>
  <r>
    <s v="ORD1298"/>
    <x v="34"/>
    <s v="P016"/>
    <x v="16"/>
    <x v="4"/>
    <s v="GlowBeauty"/>
    <x v="1"/>
    <x v="0"/>
    <x v="2"/>
    <x v="3"/>
    <n v="8"/>
    <n v="8423"/>
    <n v="67384"/>
    <n v="14997"/>
    <n v="0.02"/>
    <n v="119976"/>
    <n v="52592"/>
    <s v="N/A"/>
  </r>
  <r>
    <s v="ORD1299"/>
    <x v="236"/>
    <s v="P013"/>
    <x v="15"/>
    <x v="0"/>
    <s v="GlowBeauty"/>
    <x v="0"/>
    <x v="2"/>
    <x v="1"/>
    <x v="2"/>
    <n v="7"/>
    <n v="1958"/>
    <n v="13706"/>
    <n v="7779"/>
    <n v="0"/>
    <n v="54453"/>
    <n v="40747"/>
    <n v="3"/>
  </r>
  <r>
    <s v="ORD1300"/>
    <x v="237"/>
    <s v="P018"/>
    <x v="11"/>
    <x v="4"/>
    <s v="N/A"/>
    <x v="1"/>
    <x v="2"/>
    <x v="0"/>
    <x v="1"/>
    <n v="4"/>
    <n v="6979"/>
    <n v="27916"/>
    <n v="9656"/>
    <n v="0.02"/>
    <n v="38624"/>
    <n v="10708"/>
    <n v="4"/>
  </r>
  <r>
    <s v="ORD1301"/>
    <x v="78"/>
    <s v="P001"/>
    <x v="3"/>
    <x v="3"/>
    <s v="N/A"/>
    <x v="0"/>
    <x v="1"/>
    <x v="0"/>
    <x v="3"/>
    <n v="3"/>
    <n v="5579"/>
    <n v="16737"/>
    <n v="11009"/>
    <n v="0.05"/>
    <n v="33027"/>
    <n v="16290"/>
    <n v="2"/>
  </r>
  <r>
    <s v="ORD1302"/>
    <x v="238"/>
    <s v="P005"/>
    <x v="12"/>
    <x v="3"/>
    <s v=" glowbeauty "/>
    <x v="1"/>
    <x v="0"/>
    <x v="1"/>
    <x v="3"/>
    <n v="2"/>
    <n v="13874"/>
    <n v="27748"/>
    <n v="16412"/>
    <n v="0.02"/>
    <n v="32824"/>
    <n v="5076"/>
    <n v="1"/>
  </r>
  <r>
    <s v="ORD1303"/>
    <x v="40"/>
    <s v="P014"/>
    <x v="4"/>
    <x v="4"/>
    <s v="GlowBeauty"/>
    <x v="1"/>
    <x v="1"/>
    <x v="2"/>
    <x v="3"/>
    <n v="2"/>
    <n v="7421"/>
    <n v="14842"/>
    <n v="9789"/>
    <n v="0"/>
    <n v="19578"/>
    <n v="4736"/>
    <n v="4"/>
  </r>
  <r>
    <s v="ORD1304"/>
    <x v="16"/>
    <s v="P014"/>
    <x v="4"/>
    <x v="4"/>
    <s v="SkinLab"/>
    <x v="1"/>
    <x v="0"/>
    <x v="0"/>
    <x v="3"/>
    <n v="4"/>
    <n v="4639"/>
    <n v="18556"/>
    <n v="6814"/>
    <n v="0.1"/>
    <n v="27256"/>
    <n v="8700"/>
    <n v="4"/>
  </r>
  <r>
    <s v="ORD1305"/>
    <x v="239"/>
    <s v="P006"/>
    <x v="9"/>
    <x v="2"/>
    <s v="SkinLab"/>
    <x v="0"/>
    <x v="2"/>
    <x v="1"/>
    <x v="1"/>
    <n v="3"/>
    <n v="2444"/>
    <n v="7332"/>
    <n v="10083"/>
    <n v="0.05"/>
    <n v="30249"/>
    <n v="22917"/>
    <n v="3"/>
  </r>
  <r>
    <s v="ORD1306"/>
    <x v="240"/>
    <s v="P010"/>
    <x v="1"/>
    <x v="1"/>
    <s v="GlowBeauty"/>
    <x v="0"/>
    <x v="1"/>
    <x v="3"/>
    <x v="1"/>
    <n v="5"/>
    <n v="7372"/>
    <n v="36860"/>
    <n v="14992"/>
    <n v="0"/>
    <n v="74960"/>
    <n v="38100"/>
    <s v="N/A"/>
  </r>
  <r>
    <s v="ORD1307"/>
    <x v="241"/>
    <s v="P002"/>
    <x v="3"/>
    <x v="3"/>
    <s v="SkinLab"/>
    <x v="0"/>
    <x v="1"/>
    <x v="2"/>
    <x v="0"/>
    <n v="1"/>
    <n v="10880"/>
    <n v="10880"/>
    <n v="12311"/>
    <n v="0.05"/>
    <n v="12311"/>
    <n v="1431"/>
    <n v="5"/>
  </r>
  <r>
    <s v="ORD1308"/>
    <x v="151"/>
    <s v="P007"/>
    <x v="10"/>
    <x v="2"/>
    <s v=" glowbeauty "/>
    <x v="1"/>
    <x v="1"/>
    <x v="1"/>
    <x v="2"/>
    <n v="6"/>
    <n v="3791"/>
    <n v="22746"/>
    <n v="6384"/>
    <n v="0.05"/>
    <n v="38304"/>
    <n v="15558"/>
    <s v="N/A"/>
  </r>
  <r>
    <s v="ORD1309"/>
    <x v="242"/>
    <s v="P003"/>
    <x v="13"/>
    <x v="3"/>
    <s v="DermaCare"/>
    <x v="1"/>
    <x v="0"/>
    <x v="0"/>
    <x v="2"/>
    <n v="3"/>
    <n v="6959"/>
    <n v="20877"/>
    <n v="14433"/>
    <n v="0.1"/>
    <n v="43299"/>
    <n v="22422"/>
    <n v="1"/>
  </r>
  <r>
    <s v="ORD1310"/>
    <x v="243"/>
    <s v="P014"/>
    <x v="4"/>
    <x v="4"/>
    <s v="SkinLab"/>
    <x v="1"/>
    <x v="2"/>
    <x v="2"/>
    <x v="2"/>
    <n v="5"/>
    <n v="7823"/>
    <n v="39115"/>
    <n v="12470"/>
    <n v="0.1"/>
    <n v="62350"/>
    <n v="23235"/>
    <n v="1"/>
  </r>
  <r>
    <s v="ORD1311"/>
    <x v="244"/>
    <s v="P018"/>
    <x v="11"/>
    <x v="4"/>
    <s v="SkinLab"/>
    <x v="1"/>
    <x v="1"/>
    <x v="1"/>
    <x v="2"/>
    <n v="3"/>
    <n v="8551"/>
    <n v="25653"/>
    <n v="14683"/>
    <n v="0.1"/>
    <n v="44049"/>
    <n v="18396"/>
    <n v="2"/>
  </r>
  <r>
    <s v="ORD1312"/>
    <x v="185"/>
    <s v="P013"/>
    <x v="15"/>
    <x v="0"/>
    <s v="PureSkin"/>
    <x v="0"/>
    <x v="0"/>
    <x v="1"/>
    <x v="2"/>
    <n v="3"/>
    <n v="2645"/>
    <n v="7935"/>
    <n v="3474"/>
    <n v="0.1"/>
    <n v="10422"/>
    <n v="2487"/>
    <n v="3"/>
  </r>
  <r>
    <s v="ORD1313"/>
    <x v="245"/>
    <s v="P012"/>
    <x v="0"/>
    <x v="0"/>
    <s v=" glowbeauty "/>
    <x v="1"/>
    <x v="2"/>
    <x v="1"/>
    <x v="2"/>
    <n v="8"/>
    <n v="1598"/>
    <n v="12784"/>
    <n v="3746"/>
    <n v="0.1"/>
    <n v="29968"/>
    <n v="17184"/>
    <n v="4"/>
  </r>
  <r>
    <s v="ORD1314"/>
    <x v="246"/>
    <s v="P018"/>
    <x v="11"/>
    <x v="4"/>
    <s v="DermaCare"/>
    <x v="0"/>
    <x v="2"/>
    <x v="1"/>
    <x v="0"/>
    <n v="8"/>
    <n v="10302"/>
    <n v="82416"/>
    <n v="13674"/>
    <n v="0"/>
    <n v="109392"/>
    <n v="26976"/>
    <n v="2"/>
  </r>
  <r>
    <s v="ORD1315"/>
    <x v="111"/>
    <s v="P014"/>
    <x v="4"/>
    <x v="4"/>
    <s v=" glowbeauty "/>
    <x v="1"/>
    <x v="0"/>
    <x v="1"/>
    <x v="3"/>
    <n v="2"/>
    <n v="3754"/>
    <n v="7508"/>
    <n v="8542"/>
    <n v="0.02"/>
    <n v="17084"/>
    <n v="9576"/>
    <n v="5"/>
  </r>
  <r>
    <s v="ORD1316"/>
    <x v="247"/>
    <s v="P010"/>
    <x v="1"/>
    <x v="1"/>
    <s v=" glowbeauty "/>
    <x v="0"/>
    <x v="0"/>
    <x v="1"/>
    <x v="3"/>
    <n v="7"/>
    <n v="6557"/>
    <n v="45899"/>
    <n v="9616"/>
    <n v="0.04"/>
    <n v="67312"/>
    <n v="21413"/>
    <n v="3"/>
  </r>
  <r>
    <s v="ORD1317"/>
    <x v="159"/>
    <s v="P018"/>
    <x v="11"/>
    <x v="4"/>
    <s v=" glowbeauty "/>
    <x v="0"/>
    <x v="1"/>
    <x v="3"/>
    <x v="2"/>
    <n v="3"/>
    <n v="5186"/>
    <n v="15558"/>
    <n v="7137"/>
    <n v="0.1"/>
    <n v="21411"/>
    <n v="5853"/>
    <s v="N/A"/>
  </r>
  <r>
    <s v="ORD1318"/>
    <x v="209"/>
    <s v="P018"/>
    <x v="11"/>
    <x v="4"/>
    <s v="N/A"/>
    <x v="1"/>
    <x v="0"/>
    <x v="1"/>
    <x v="2"/>
    <n v="2"/>
    <n v="5402"/>
    <n v="10804"/>
    <n v="8881"/>
    <n v="0.02"/>
    <n v="17762"/>
    <n v="6958"/>
    <s v="N/A"/>
  </r>
  <r>
    <s v="ORD1319"/>
    <x v="7"/>
    <s v="P014"/>
    <x v="4"/>
    <x v="4"/>
    <s v="GlowBeauty"/>
    <x v="1"/>
    <x v="0"/>
    <x v="2"/>
    <x v="3"/>
    <n v="4"/>
    <n v="12304"/>
    <n v="49216"/>
    <n v="12864"/>
    <n v="0.1"/>
    <n v="51456"/>
    <n v="2240"/>
    <n v="4"/>
  </r>
  <r>
    <s v="ORD1320"/>
    <x v="219"/>
    <s v="P017"/>
    <x v="6"/>
    <x v="4"/>
    <s v="GlowBeauty"/>
    <x v="0"/>
    <x v="0"/>
    <x v="2"/>
    <x v="1"/>
    <n v="6"/>
    <n v="7186"/>
    <n v="43116"/>
    <n v="9237"/>
    <n v="0.04"/>
    <n v="55422"/>
    <n v="12306"/>
    <n v="1"/>
  </r>
  <r>
    <s v="ORD1321"/>
    <x v="248"/>
    <s v="P001"/>
    <x v="3"/>
    <x v="3"/>
    <s v="GlowBeauty"/>
    <x v="1"/>
    <x v="2"/>
    <x v="1"/>
    <x v="1"/>
    <n v="3"/>
    <n v="9165"/>
    <n v="27495"/>
    <n v="11901"/>
    <n v="0.02"/>
    <n v="35703"/>
    <n v="8208"/>
    <n v="3"/>
  </r>
  <r>
    <s v="ORD1322"/>
    <x v="249"/>
    <s v="P018"/>
    <x v="11"/>
    <x v="4"/>
    <s v="N/A"/>
    <x v="1"/>
    <x v="0"/>
    <x v="3"/>
    <x v="3"/>
    <n v="1"/>
    <n v="14330"/>
    <n v="14330"/>
    <n v="17507"/>
    <n v="0.02"/>
    <n v="17507"/>
    <n v="3177"/>
    <n v="3"/>
  </r>
  <r>
    <s v="ORD1323"/>
    <x v="160"/>
    <s v="P006"/>
    <x v="9"/>
    <x v="2"/>
    <s v="SkinLab"/>
    <x v="0"/>
    <x v="1"/>
    <x v="1"/>
    <x v="2"/>
    <n v="6"/>
    <n v="5453"/>
    <n v="32718"/>
    <n v="7898"/>
    <n v="0"/>
    <n v="47388"/>
    <n v="14670"/>
    <n v="5"/>
  </r>
  <r>
    <s v="ORD1324"/>
    <x v="250"/>
    <s v="P015"/>
    <x v="5"/>
    <x v="4"/>
    <s v="GlowBeauty"/>
    <x v="1"/>
    <x v="0"/>
    <x v="1"/>
    <x v="1"/>
    <n v="4"/>
    <n v="14604"/>
    <n v="58416"/>
    <n v="17618"/>
    <n v="0.02"/>
    <n v="70472"/>
    <n v="12056"/>
    <n v="3"/>
  </r>
  <r>
    <s v="ORD1325"/>
    <x v="214"/>
    <s v="P014"/>
    <x v="4"/>
    <x v="4"/>
    <s v="GlowBeauty"/>
    <x v="1"/>
    <x v="0"/>
    <x v="2"/>
    <x v="0"/>
    <n v="7"/>
    <n v="13693"/>
    <n v="95851"/>
    <n v="20760"/>
    <n v="0.05"/>
    <n v="145320"/>
    <n v="49469"/>
    <n v="2"/>
  </r>
  <r>
    <s v="ORD1326"/>
    <x v="251"/>
    <s v="P017"/>
    <x v="6"/>
    <x v="4"/>
    <s v=" glowbeauty "/>
    <x v="1"/>
    <x v="1"/>
    <x v="1"/>
    <x v="1"/>
    <n v="8"/>
    <n v="1717"/>
    <n v="13736"/>
    <n v="2706"/>
    <n v="0.04"/>
    <n v="21648"/>
    <n v="7912"/>
    <s v="N/A"/>
  </r>
  <r>
    <s v="ORD1327"/>
    <x v="122"/>
    <s v="P007"/>
    <x v="10"/>
    <x v="2"/>
    <s v="DermaCare"/>
    <x v="0"/>
    <x v="0"/>
    <x v="3"/>
    <x v="3"/>
    <n v="7"/>
    <n v="6108"/>
    <n v="42756"/>
    <n v="6975"/>
    <n v="0"/>
    <n v="48825"/>
    <n v="6069"/>
    <n v="5"/>
  </r>
  <r>
    <s v="ORD1328"/>
    <x v="252"/>
    <s v="P017"/>
    <x v="6"/>
    <x v="4"/>
    <s v="N/A"/>
    <x v="1"/>
    <x v="1"/>
    <x v="1"/>
    <x v="0"/>
    <n v="5"/>
    <n v="7432"/>
    <n v="37160"/>
    <n v="9776"/>
    <n v="0"/>
    <n v="48880"/>
    <n v="11720"/>
    <n v="5"/>
  </r>
  <r>
    <s v="ORD1329"/>
    <x v="253"/>
    <s v="P011"/>
    <x v="7"/>
    <x v="1"/>
    <s v="DermaCare"/>
    <x v="1"/>
    <x v="0"/>
    <x v="0"/>
    <x v="0"/>
    <n v="1"/>
    <n v="7167"/>
    <n v="7167"/>
    <n v="9784"/>
    <n v="0.05"/>
    <n v="9784"/>
    <n v="2617"/>
    <n v="5"/>
  </r>
  <r>
    <s v="ORD1330"/>
    <x v="254"/>
    <s v="P009"/>
    <x v="14"/>
    <x v="1"/>
    <s v="SkinLab"/>
    <x v="0"/>
    <x v="1"/>
    <x v="1"/>
    <x v="0"/>
    <n v="4"/>
    <n v="1957"/>
    <n v="7828"/>
    <n v="5508"/>
    <n v="0.04"/>
    <n v="22032"/>
    <n v="14204"/>
    <n v="5"/>
  </r>
  <r>
    <s v="ORD1331"/>
    <x v="255"/>
    <s v="P017"/>
    <x v="6"/>
    <x v="4"/>
    <s v="GlowBeauty"/>
    <x v="1"/>
    <x v="0"/>
    <x v="0"/>
    <x v="3"/>
    <n v="5"/>
    <n v="6992"/>
    <n v="34960"/>
    <n v="9046"/>
    <n v="0.1"/>
    <n v="45230"/>
    <n v="10270"/>
    <n v="2"/>
  </r>
  <r>
    <s v="ORD1332"/>
    <x v="169"/>
    <s v="P010"/>
    <x v="1"/>
    <x v="1"/>
    <s v="DermaCare"/>
    <x v="1"/>
    <x v="1"/>
    <x v="1"/>
    <x v="3"/>
    <n v="4"/>
    <n v="12277"/>
    <n v="49108"/>
    <n v="18526"/>
    <n v="0.1"/>
    <n v="74104"/>
    <n v="24996"/>
    <n v="4"/>
  </r>
  <r>
    <s v="ORD1333"/>
    <x v="256"/>
    <s v="P002"/>
    <x v="3"/>
    <x v="3"/>
    <s v="PureSkin"/>
    <x v="1"/>
    <x v="0"/>
    <x v="1"/>
    <x v="0"/>
    <n v="4"/>
    <n v="11328"/>
    <n v="45312"/>
    <n v="18446"/>
    <n v="0.1"/>
    <n v="73784"/>
    <n v="28472"/>
    <n v="5"/>
  </r>
  <r>
    <s v="ORD1334"/>
    <x v="257"/>
    <s v="P006"/>
    <x v="9"/>
    <x v="2"/>
    <s v=" glowbeauty "/>
    <x v="1"/>
    <x v="2"/>
    <x v="1"/>
    <x v="1"/>
    <n v="1"/>
    <n v="7989"/>
    <n v="7989"/>
    <n v="14805"/>
    <n v="0.02"/>
    <n v="14805"/>
    <n v="6816"/>
    <s v="N/A"/>
  </r>
  <r>
    <s v="ORD1335"/>
    <x v="194"/>
    <s v="P016"/>
    <x v="16"/>
    <x v="4"/>
    <s v="DermaCare"/>
    <x v="0"/>
    <x v="1"/>
    <x v="1"/>
    <x v="0"/>
    <n v="2"/>
    <n v="7983"/>
    <n v="15966"/>
    <n v="12381"/>
    <n v="0.1"/>
    <n v="24762"/>
    <n v="8796"/>
    <n v="1"/>
  </r>
  <r>
    <s v="ORD1336"/>
    <x v="206"/>
    <s v="P008"/>
    <x v="2"/>
    <x v="2"/>
    <s v=" glowbeauty "/>
    <x v="0"/>
    <x v="2"/>
    <x v="1"/>
    <x v="1"/>
    <n v="5"/>
    <n v="11808"/>
    <n v="59040"/>
    <n v="14090"/>
    <n v="0.02"/>
    <n v="70450"/>
    <n v="11410"/>
    <n v="1"/>
  </r>
  <r>
    <s v="ORD1337"/>
    <x v="72"/>
    <s v="P005"/>
    <x v="12"/>
    <x v="3"/>
    <s v="SkinLab"/>
    <x v="1"/>
    <x v="1"/>
    <x v="1"/>
    <x v="0"/>
    <n v="5"/>
    <n v="7277"/>
    <n v="36385"/>
    <n v="9584"/>
    <n v="0.04"/>
    <n v="47920"/>
    <n v="11535"/>
    <n v="1"/>
  </r>
  <r>
    <s v="ORD1338"/>
    <x v="258"/>
    <s v="P018"/>
    <x v="11"/>
    <x v="4"/>
    <s v="DermaCare"/>
    <x v="0"/>
    <x v="2"/>
    <x v="2"/>
    <x v="1"/>
    <n v="1"/>
    <n v="5287"/>
    <n v="5287"/>
    <n v="11964"/>
    <n v="0.04"/>
    <n v="11964"/>
    <n v="6677"/>
    <n v="2"/>
  </r>
  <r>
    <s v="ORD1339"/>
    <x v="87"/>
    <s v="P010"/>
    <x v="1"/>
    <x v="1"/>
    <s v="SkinLab"/>
    <x v="1"/>
    <x v="0"/>
    <x v="1"/>
    <x v="2"/>
    <n v="7"/>
    <n v="6176"/>
    <n v="43232"/>
    <n v="13042"/>
    <n v="0.02"/>
    <n v="91294"/>
    <n v="48062"/>
    <n v="4"/>
  </r>
  <r>
    <s v="ORD1340"/>
    <x v="84"/>
    <s v="P001"/>
    <x v="3"/>
    <x v="3"/>
    <s v="N/A"/>
    <x v="0"/>
    <x v="2"/>
    <x v="1"/>
    <x v="1"/>
    <n v="4"/>
    <n v="13730"/>
    <n v="54920"/>
    <n v="18544"/>
    <n v="0"/>
    <n v="74176"/>
    <n v="19256"/>
    <n v="5"/>
  </r>
  <r>
    <s v="ORD1341"/>
    <x v="259"/>
    <s v="P017"/>
    <x v="6"/>
    <x v="4"/>
    <s v="DermaCare"/>
    <x v="1"/>
    <x v="0"/>
    <x v="3"/>
    <x v="1"/>
    <n v="6"/>
    <n v="7114"/>
    <n v="42684"/>
    <n v="11929"/>
    <n v="0.05"/>
    <n v="71574"/>
    <n v="28890"/>
    <n v="4"/>
  </r>
  <r>
    <s v="ORD1342"/>
    <x v="195"/>
    <s v="P005"/>
    <x v="12"/>
    <x v="3"/>
    <s v="SkinLab"/>
    <x v="1"/>
    <x v="1"/>
    <x v="1"/>
    <x v="0"/>
    <n v="7"/>
    <n v="14671"/>
    <n v="102697"/>
    <n v="15632"/>
    <n v="0.05"/>
    <n v="109424"/>
    <n v="6727"/>
    <n v="3"/>
  </r>
  <r>
    <s v="ORD1343"/>
    <x v="91"/>
    <s v="P005"/>
    <x v="12"/>
    <x v="3"/>
    <s v="DermaCare"/>
    <x v="1"/>
    <x v="0"/>
    <x v="0"/>
    <x v="3"/>
    <n v="6"/>
    <n v="1405"/>
    <n v="8430"/>
    <n v="4307"/>
    <n v="0.02"/>
    <n v="25842"/>
    <n v="17412"/>
    <n v="4"/>
  </r>
  <r>
    <s v="ORD1344"/>
    <x v="240"/>
    <s v="P006"/>
    <x v="9"/>
    <x v="2"/>
    <s v="GlowBeauty"/>
    <x v="0"/>
    <x v="1"/>
    <x v="3"/>
    <x v="2"/>
    <n v="8"/>
    <n v="1731"/>
    <n v="13848"/>
    <n v="9713"/>
    <n v="0.04"/>
    <n v="77704"/>
    <n v="63856"/>
    <n v="3"/>
  </r>
  <r>
    <s v="ORD1345"/>
    <x v="260"/>
    <s v="P005"/>
    <x v="12"/>
    <x v="3"/>
    <s v=" glowbeauty "/>
    <x v="0"/>
    <x v="0"/>
    <x v="1"/>
    <x v="3"/>
    <n v="4"/>
    <n v="13604"/>
    <n v="54416"/>
    <n v="20044"/>
    <n v="0.05"/>
    <n v="80176"/>
    <n v="25760"/>
    <n v="2"/>
  </r>
  <r>
    <s v="ORD1346"/>
    <x v="193"/>
    <s v="P003"/>
    <x v="13"/>
    <x v="3"/>
    <s v="N/A"/>
    <x v="0"/>
    <x v="1"/>
    <x v="1"/>
    <x v="0"/>
    <n v="5"/>
    <n v="14734"/>
    <n v="73670"/>
    <n v="15901"/>
    <n v="0.1"/>
    <n v="79505"/>
    <n v="5835"/>
    <n v="5"/>
  </r>
  <r>
    <s v="ORD1347"/>
    <x v="98"/>
    <s v="P016"/>
    <x v="16"/>
    <x v="4"/>
    <s v="DermaCare"/>
    <x v="0"/>
    <x v="0"/>
    <x v="0"/>
    <x v="1"/>
    <n v="4"/>
    <n v="3536"/>
    <n v="14144"/>
    <n v="4291"/>
    <n v="0"/>
    <n v="17164"/>
    <n v="3020"/>
    <n v="4"/>
  </r>
  <r>
    <s v="ORD1348"/>
    <x v="129"/>
    <s v="P003"/>
    <x v="13"/>
    <x v="3"/>
    <s v="DermaCare"/>
    <x v="1"/>
    <x v="2"/>
    <x v="2"/>
    <x v="2"/>
    <n v="4"/>
    <n v="2204"/>
    <n v="8816"/>
    <n v="9137"/>
    <n v="0.05"/>
    <n v="36548"/>
    <n v="27732"/>
    <n v="4"/>
  </r>
  <r>
    <s v="ORD1349"/>
    <x v="203"/>
    <s v="P013"/>
    <x v="15"/>
    <x v="0"/>
    <s v="DermaCare"/>
    <x v="1"/>
    <x v="1"/>
    <x v="3"/>
    <x v="3"/>
    <n v="2"/>
    <n v="13906"/>
    <n v="27812"/>
    <n v="21422"/>
    <n v="0.05"/>
    <n v="42844"/>
    <n v="15032"/>
    <n v="5"/>
  </r>
  <r>
    <s v="ORD1350"/>
    <x v="261"/>
    <s v="P015"/>
    <x v="5"/>
    <x v="4"/>
    <s v="N/A"/>
    <x v="1"/>
    <x v="0"/>
    <x v="1"/>
    <x v="3"/>
    <n v="3"/>
    <n v="13961"/>
    <n v="41883"/>
    <n v="18557"/>
    <n v="0.02"/>
    <n v="55671"/>
    <n v="13788"/>
    <n v="1"/>
  </r>
  <r>
    <s v="ORD1351"/>
    <x v="262"/>
    <s v="P012"/>
    <x v="0"/>
    <x v="0"/>
    <s v="N/A"/>
    <x v="0"/>
    <x v="0"/>
    <x v="1"/>
    <x v="3"/>
    <n v="8"/>
    <n v="2736"/>
    <n v="21888"/>
    <n v="4348"/>
    <n v="0.1"/>
    <n v="34784"/>
    <n v="12896"/>
    <n v="1"/>
  </r>
  <r>
    <s v="ORD1352"/>
    <x v="263"/>
    <s v="P015"/>
    <x v="5"/>
    <x v="4"/>
    <s v=" glowbeauty "/>
    <x v="1"/>
    <x v="1"/>
    <x v="1"/>
    <x v="1"/>
    <n v="4"/>
    <n v="1823"/>
    <n v="7292"/>
    <n v="6392"/>
    <n v="0.05"/>
    <n v="25568"/>
    <n v="18276"/>
    <n v="4"/>
  </r>
  <r>
    <s v="ORD1353"/>
    <x v="264"/>
    <s v="P008"/>
    <x v="2"/>
    <x v="2"/>
    <s v="GlowBeauty"/>
    <x v="1"/>
    <x v="1"/>
    <x v="0"/>
    <x v="2"/>
    <n v="7"/>
    <n v="5362"/>
    <n v="37534"/>
    <n v="8054"/>
    <n v="0.02"/>
    <n v="56378"/>
    <n v="18844"/>
    <n v="1"/>
  </r>
  <r>
    <s v="ORD1354"/>
    <x v="265"/>
    <s v="P005"/>
    <x v="12"/>
    <x v="3"/>
    <s v=" glowbeauty "/>
    <x v="1"/>
    <x v="0"/>
    <x v="1"/>
    <x v="2"/>
    <n v="7"/>
    <n v="8249"/>
    <n v="57743"/>
    <n v="15989"/>
    <n v="0.05"/>
    <n v="111923"/>
    <n v="54180"/>
    <n v="1"/>
  </r>
  <r>
    <s v="ORD1355"/>
    <x v="266"/>
    <s v="P014"/>
    <x v="4"/>
    <x v="4"/>
    <s v="DermaCare"/>
    <x v="0"/>
    <x v="0"/>
    <x v="3"/>
    <x v="1"/>
    <n v="6"/>
    <n v="6534"/>
    <n v="39204"/>
    <n v="12410"/>
    <n v="0.1"/>
    <n v="74460"/>
    <n v="35256"/>
    <n v="5"/>
  </r>
  <r>
    <s v="ORD1356"/>
    <x v="267"/>
    <s v="P010"/>
    <x v="1"/>
    <x v="1"/>
    <s v="PureSkin"/>
    <x v="0"/>
    <x v="1"/>
    <x v="1"/>
    <x v="2"/>
    <n v="5"/>
    <n v="5329"/>
    <n v="26645"/>
    <n v="7633"/>
    <n v="0.1"/>
    <n v="38165"/>
    <n v="11520"/>
    <n v="1"/>
  </r>
  <r>
    <s v="ORD1357"/>
    <x v="268"/>
    <s v="P007"/>
    <x v="10"/>
    <x v="2"/>
    <s v=" glowbeauty "/>
    <x v="0"/>
    <x v="0"/>
    <x v="1"/>
    <x v="2"/>
    <n v="3"/>
    <n v="9507"/>
    <n v="28521"/>
    <n v="13656"/>
    <n v="0.1"/>
    <n v="40968"/>
    <n v="12447"/>
    <n v="4"/>
  </r>
  <r>
    <s v="ORD1358"/>
    <x v="269"/>
    <s v="P012"/>
    <x v="0"/>
    <x v="0"/>
    <s v="DermaCare"/>
    <x v="0"/>
    <x v="0"/>
    <x v="1"/>
    <x v="3"/>
    <n v="2"/>
    <n v="13718"/>
    <n v="27436"/>
    <n v="19416"/>
    <n v="0.1"/>
    <n v="38832"/>
    <n v="11396"/>
    <n v="3"/>
  </r>
  <r>
    <s v="ORD1359"/>
    <x v="270"/>
    <s v="P013"/>
    <x v="15"/>
    <x v="0"/>
    <s v=" glowbeauty "/>
    <x v="0"/>
    <x v="0"/>
    <x v="1"/>
    <x v="2"/>
    <n v="1"/>
    <n v="14494"/>
    <n v="14494"/>
    <n v="15143"/>
    <n v="0.1"/>
    <n v="15143"/>
    <n v="649"/>
    <n v="1"/>
  </r>
  <r>
    <s v="ORD1360"/>
    <x v="271"/>
    <s v="P001"/>
    <x v="3"/>
    <x v="3"/>
    <s v="GlowBeauty"/>
    <x v="0"/>
    <x v="0"/>
    <x v="0"/>
    <x v="3"/>
    <n v="2"/>
    <n v="2779"/>
    <n v="5558"/>
    <n v="10119"/>
    <n v="0.02"/>
    <n v="20238"/>
    <n v="14680"/>
    <s v="N/A"/>
  </r>
  <r>
    <s v="ORD1361"/>
    <x v="272"/>
    <s v="P005"/>
    <x v="12"/>
    <x v="3"/>
    <s v=" glowbeauty "/>
    <x v="0"/>
    <x v="1"/>
    <x v="1"/>
    <x v="2"/>
    <n v="3"/>
    <n v="1749"/>
    <n v="5247"/>
    <n v="5698"/>
    <n v="0.1"/>
    <n v="17094"/>
    <n v="11847"/>
    <n v="3"/>
  </r>
  <r>
    <s v="ORD1362"/>
    <x v="266"/>
    <s v="P001"/>
    <x v="3"/>
    <x v="3"/>
    <s v="N/A"/>
    <x v="1"/>
    <x v="1"/>
    <x v="0"/>
    <x v="2"/>
    <n v="7"/>
    <n v="14032"/>
    <n v="98224"/>
    <n v="20558"/>
    <n v="0.02"/>
    <n v="143906"/>
    <n v="45682"/>
    <n v="2"/>
  </r>
  <r>
    <s v="ORD1363"/>
    <x v="121"/>
    <s v="P009"/>
    <x v="14"/>
    <x v="1"/>
    <s v="DermaCare"/>
    <x v="1"/>
    <x v="2"/>
    <x v="0"/>
    <x v="1"/>
    <n v="1"/>
    <n v="2280"/>
    <n v="2280"/>
    <n v="3480"/>
    <n v="0.05"/>
    <n v="3480"/>
    <n v="1200"/>
    <s v="N/A"/>
  </r>
  <r>
    <s v="ORD1364"/>
    <x v="273"/>
    <s v="P003"/>
    <x v="13"/>
    <x v="3"/>
    <s v="N/A"/>
    <x v="0"/>
    <x v="2"/>
    <x v="1"/>
    <x v="0"/>
    <n v="4"/>
    <n v="9800"/>
    <n v="39200"/>
    <n v="15797"/>
    <n v="0.04"/>
    <n v="63188"/>
    <n v="23988"/>
    <s v="N/A"/>
  </r>
  <r>
    <s v="ORD1365"/>
    <x v="42"/>
    <s v="P014"/>
    <x v="4"/>
    <x v="4"/>
    <s v="N/A"/>
    <x v="1"/>
    <x v="0"/>
    <x v="3"/>
    <x v="2"/>
    <n v="7"/>
    <n v="5583"/>
    <n v="39081"/>
    <n v="6488"/>
    <n v="0.05"/>
    <n v="45416"/>
    <n v="6335"/>
    <n v="2"/>
  </r>
  <r>
    <s v="ORD1366"/>
    <x v="258"/>
    <s v="P003"/>
    <x v="13"/>
    <x v="3"/>
    <s v="GlowBeauty"/>
    <x v="0"/>
    <x v="2"/>
    <x v="3"/>
    <x v="0"/>
    <n v="7"/>
    <n v="4250"/>
    <n v="29750"/>
    <n v="5714"/>
    <n v="0.05"/>
    <n v="39998"/>
    <n v="10248"/>
    <n v="5"/>
  </r>
  <r>
    <s v="ORD1367"/>
    <x v="274"/>
    <s v="P017"/>
    <x v="6"/>
    <x v="4"/>
    <s v="SkinLab"/>
    <x v="1"/>
    <x v="2"/>
    <x v="1"/>
    <x v="3"/>
    <n v="4"/>
    <n v="6805"/>
    <n v="27220"/>
    <n v="14310"/>
    <n v="0.1"/>
    <n v="57240"/>
    <n v="30020"/>
    <n v="2"/>
  </r>
  <r>
    <s v="ORD1368"/>
    <x v="275"/>
    <s v="P003"/>
    <x v="13"/>
    <x v="3"/>
    <s v="SkinLab"/>
    <x v="1"/>
    <x v="0"/>
    <x v="0"/>
    <x v="3"/>
    <n v="5"/>
    <n v="13962"/>
    <n v="69810"/>
    <n v="20113"/>
    <n v="0.04"/>
    <n v="100565"/>
    <n v="30755"/>
    <s v="N/A"/>
  </r>
  <r>
    <s v="ORD1369"/>
    <x v="215"/>
    <s v="P017"/>
    <x v="6"/>
    <x v="4"/>
    <s v="SkinLab"/>
    <x v="0"/>
    <x v="1"/>
    <x v="1"/>
    <x v="3"/>
    <n v="4"/>
    <n v="7523"/>
    <n v="30092"/>
    <n v="10570"/>
    <n v="0.04"/>
    <n v="42280"/>
    <n v="12188"/>
    <n v="4"/>
  </r>
  <r>
    <s v="ORD1370"/>
    <x v="207"/>
    <s v="P007"/>
    <x v="10"/>
    <x v="2"/>
    <s v="DermaCare"/>
    <x v="1"/>
    <x v="2"/>
    <x v="1"/>
    <x v="2"/>
    <n v="7"/>
    <n v="10140"/>
    <n v="70980"/>
    <n v="13124"/>
    <n v="0.02"/>
    <n v="91868"/>
    <n v="20888"/>
    <s v="N/A"/>
  </r>
  <r>
    <s v="ORD1371"/>
    <x v="144"/>
    <s v="P012"/>
    <x v="0"/>
    <x v="0"/>
    <s v="DermaCare"/>
    <x v="0"/>
    <x v="0"/>
    <x v="0"/>
    <x v="2"/>
    <n v="4"/>
    <n v="6104"/>
    <n v="24416"/>
    <n v="10446"/>
    <n v="0.05"/>
    <n v="41784"/>
    <n v="17368"/>
    <n v="3"/>
  </r>
  <r>
    <s v="ORD1372"/>
    <x v="276"/>
    <s v="P011"/>
    <x v="7"/>
    <x v="1"/>
    <s v="PureSkin"/>
    <x v="1"/>
    <x v="1"/>
    <x v="0"/>
    <x v="2"/>
    <n v="8"/>
    <n v="5578"/>
    <n v="44624"/>
    <n v="12786"/>
    <n v="0.1"/>
    <n v="102288"/>
    <n v="57664"/>
    <n v="1"/>
  </r>
  <r>
    <s v="ORD1373"/>
    <x v="277"/>
    <s v="P017"/>
    <x v="6"/>
    <x v="4"/>
    <s v="SkinLab"/>
    <x v="0"/>
    <x v="1"/>
    <x v="1"/>
    <x v="0"/>
    <n v="4"/>
    <n v="12800"/>
    <n v="51200"/>
    <n v="18576"/>
    <n v="0"/>
    <n v="74304"/>
    <n v="23104"/>
    <n v="3"/>
  </r>
  <r>
    <s v="ORD1374"/>
    <x v="30"/>
    <s v="P012"/>
    <x v="0"/>
    <x v="0"/>
    <s v="SkinLab"/>
    <x v="1"/>
    <x v="0"/>
    <x v="1"/>
    <x v="0"/>
    <n v="1"/>
    <n v="11262"/>
    <n v="11262"/>
    <n v="15280"/>
    <n v="0.02"/>
    <n v="15280"/>
    <n v="4018"/>
    <n v="4"/>
  </r>
  <r>
    <s v="ORD1375"/>
    <x v="278"/>
    <s v="P010"/>
    <x v="1"/>
    <x v="1"/>
    <s v="N/A"/>
    <x v="0"/>
    <x v="0"/>
    <x v="1"/>
    <x v="1"/>
    <n v="7"/>
    <n v="4755"/>
    <n v="33285"/>
    <n v="12547"/>
    <n v="0.05"/>
    <n v="87829"/>
    <n v="54544"/>
    <n v="5"/>
  </r>
  <r>
    <s v="ORD1376"/>
    <x v="279"/>
    <s v="P015"/>
    <x v="5"/>
    <x v="4"/>
    <s v="DermaCare"/>
    <x v="1"/>
    <x v="1"/>
    <x v="1"/>
    <x v="0"/>
    <n v="3"/>
    <n v="12523"/>
    <n v="37569"/>
    <n v="19632"/>
    <n v="0.04"/>
    <n v="58896"/>
    <n v="21327"/>
    <n v="3"/>
  </r>
  <r>
    <s v="ORD1377"/>
    <x v="212"/>
    <s v="P005"/>
    <x v="12"/>
    <x v="3"/>
    <s v="GlowBeauty"/>
    <x v="1"/>
    <x v="2"/>
    <x v="0"/>
    <x v="0"/>
    <n v="2"/>
    <n v="9082"/>
    <n v="18164"/>
    <n v="9757"/>
    <n v="0.05"/>
    <n v="19514"/>
    <n v="1350"/>
    <n v="4"/>
  </r>
  <r>
    <s v="ORD1378"/>
    <x v="70"/>
    <s v="P007"/>
    <x v="10"/>
    <x v="2"/>
    <s v="DermaCare"/>
    <x v="1"/>
    <x v="2"/>
    <x v="1"/>
    <x v="2"/>
    <n v="6"/>
    <n v="9745"/>
    <n v="58470"/>
    <n v="13354"/>
    <n v="0.04"/>
    <n v="80124"/>
    <n v="21654"/>
    <n v="2"/>
  </r>
  <r>
    <s v="ORD1379"/>
    <x v="102"/>
    <s v="P014"/>
    <x v="4"/>
    <x v="4"/>
    <s v="PureSkin"/>
    <x v="1"/>
    <x v="0"/>
    <x v="2"/>
    <x v="0"/>
    <n v="7"/>
    <n v="8441"/>
    <n v="59087"/>
    <n v="14884"/>
    <n v="0.02"/>
    <n v="104188"/>
    <n v="45101"/>
    <n v="4"/>
  </r>
  <r>
    <s v="ORD1380"/>
    <x v="97"/>
    <s v="P004"/>
    <x v="8"/>
    <x v="3"/>
    <s v="GlowBeauty"/>
    <x v="1"/>
    <x v="0"/>
    <x v="1"/>
    <x v="3"/>
    <n v="4"/>
    <n v="3427"/>
    <n v="13708"/>
    <n v="4932"/>
    <n v="0.1"/>
    <n v="19728"/>
    <n v="6020"/>
    <n v="1"/>
  </r>
  <r>
    <s v="ORD1381"/>
    <x v="280"/>
    <s v="P001"/>
    <x v="3"/>
    <x v="3"/>
    <s v="DermaCare"/>
    <x v="1"/>
    <x v="0"/>
    <x v="1"/>
    <x v="3"/>
    <n v="8"/>
    <n v="4734"/>
    <n v="37872"/>
    <n v="6577"/>
    <n v="0.04"/>
    <n v="52616"/>
    <n v="14744"/>
    <n v="3"/>
  </r>
  <r>
    <s v="ORD1382"/>
    <x v="281"/>
    <s v="P009"/>
    <x v="14"/>
    <x v="1"/>
    <s v="N/A"/>
    <x v="1"/>
    <x v="2"/>
    <x v="1"/>
    <x v="0"/>
    <n v="8"/>
    <n v="5706"/>
    <n v="45648"/>
    <n v="13697"/>
    <n v="0"/>
    <n v="109576"/>
    <n v="63928"/>
    <n v="2"/>
  </r>
  <r>
    <s v="ORD1383"/>
    <x v="282"/>
    <s v="P009"/>
    <x v="14"/>
    <x v="1"/>
    <s v=" glowbeauty "/>
    <x v="1"/>
    <x v="2"/>
    <x v="1"/>
    <x v="2"/>
    <n v="3"/>
    <n v="11960"/>
    <n v="35880"/>
    <n v="13722"/>
    <n v="0.05"/>
    <n v="41166"/>
    <n v="5286"/>
    <n v="5"/>
  </r>
  <r>
    <s v="ORD1384"/>
    <x v="283"/>
    <s v="P006"/>
    <x v="9"/>
    <x v="2"/>
    <s v="N/A"/>
    <x v="1"/>
    <x v="0"/>
    <x v="0"/>
    <x v="0"/>
    <n v="4"/>
    <n v="3560"/>
    <n v="14240"/>
    <n v="4245"/>
    <n v="0"/>
    <n v="16980"/>
    <n v="2740"/>
    <n v="4"/>
  </r>
  <r>
    <s v="ORD1385"/>
    <x v="53"/>
    <s v="P004"/>
    <x v="8"/>
    <x v="3"/>
    <s v="GlowBeauty"/>
    <x v="0"/>
    <x v="0"/>
    <x v="1"/>
    <x v="0"/>
    <n v="4"/>
    <n v="7382"/>
    <n v="29528"/>
    <n v="10904"/>
    <n v="0.04"/>
    <n v="43616"/>
    <n v="14088"/>
    <n v="2"/>
  </r>
  <r>
    <s v="ORD1386"/>
    <x v="180"/>
    <s v="P001"/>
    <x v="3"/>
    <x v="3"/>
    <s v="N/A"/>
    <x v="1"/>
    <x v="1"/>
    <x v="1"/>
    <x v="2"/>
    <n v="3"/>
    <n v="5484"/>
    <n v="16452"/>
    <n v="9892"/>
    <n v="0.04"/>
    <n v="29676"/>
    <n v="13224"/>
    <n v="1"/>
  </r>
  <r>
    <s v="ORD1387"/>
    <x v="284"/>
    <s v="P017"/>
    <x v="6"/>
    <x v="4"/>
    <s v="GlowBeauty"/>
    <x v="0"/>
    <x v="2"/>
    <x v="3"/>
    <x v="1"/>
    <n v="3"/>
    <n v="1246"/>
    <n v="3738"/>
    <n v="5219"/>
    <n v="0.05"/>
    <n v="15657"/>
    <n v="11919"/>
    <n v="4"/>
  </r>
  <r>
    <s v="ORD1388"/>
    <x v="285"/>
    <s v="P006"/>
    <x v="9"/>
    <x v="2"/>
    <s v="N/A"/>
    <x v="0"/>
    <x v="1"/>
    <x v="2"/>
    <x v="0"/>
    <n v="3"/>
    <n v="4908"/>
    <n v="14724"/>
    <n v="8825"/>
    <n v="0.05"/>
    <n v="26475"/>
    <n v="11751"/>
    <s v="N/A"/>
  </r>
  <r>
    <s v="ORD1389"/>
    <x v="26"/>
    <s v="P009"/>
    <x v="14"/>
    <x v="1"/>
    <s v="SkinLab"/>
    <x v="1"/>
    <x v="0"/>
    <x v="1"/>
    <x v="2"/>
    <n v="7"/>
    <n v="14321"/>
    <n v="100247"/>
    <n v="19161"/>
    <n v="0.1"/>
    <n v="134127"/>
    <n v="33880"/>
    <s v="N/A"/>
  </r>
  <r>
    <s v="ORD1390"/>
    <x v="208"/>
    <s v="P007"/>
    <x v="10"/>
    <x v="2"/>
    <s v="SkinLab"/>
    <x v="0"/>
    <x v="0"/>
    <x v="2"/>
    <x v="2"/>
    <n v="8"/>
    <n v="9581"/>
    <n v="76648"/>
    <n v="11546"/>
    <n v="0.1"/>
    <n v="92368"/>
    <n v="15720"/>
    <n v="4"/>
  </r>
  <r>
    <s v="ORD1391"/>
    <x v="286"/>
    <s v="P011"/>
    <x v="7"/>
    <x v="1"/>
    <s v="N/A"/>
    <x v="0"/>
    <x v="2"/>
    <x v="1"/>
    <x v="1"/>
    <n v="1"/>
    <n v="1481"/>
    <n v="1481"/>
    <n v="5225"/>
    <n v="0.05"/>
    <n v="5225"/>
    <n v="3744"/>
    <n v="5"/>
  </r>
  <r>
    <s v="ORD1392"/>
    <x v="101"/>
    <s v="P002"/>
    <x v="3"/>
    <x v="3"/>
    <s v="SkinLab"/>
    <x v="0"/>
    <x v="1"/>
    <x v="1"/>
    <x v="3"/>
    <n v="4"/>
    <n v="3278"/>
    <n v="13112"/>
    <n v="8860"/>
    <n v="0.05"/>
    <n v="35440"/>
    <n v="22328"/>
    <s v="N/A"/>
  </r>
  <r>
    <s v="ORD1393"/>
    <x v="94"/>
    <s v="P012"/>
    <x v="0"/>
    <x v="0"/>
    <s v="GlowBeauty"/>
    <x v="1"/>
    <x v="2"/>
    <x v="0"/>
    <x v="3"/>
    <n v="6"/>
    <n v="11692"/>
    <n v="70152"/>
    <n v="12684"/>
    <n v="0.02"/>
    <n v="76104"/>
    <n v="5952"/>
    <n v="1"/>
  </r>
  <r>
    <s v="ORD1394"/>
    <x v="61"/>
    <s v="P004"/>
    <x v="8"/>
    <x v="3"/>
    <s v=" glowbeauty "/>
    <x v="0"/>
    <x v="1"/>
    <x v="1"/>
    <x v="1"/>
    <n v="1"/>
    <n v="7910"/>
    <n v="7910"/>
    <n v="9104"/>
    <n v="0.02"/>
    <n v="9104"/>
    <n v="1194"/>
    <n v="4"/>
  </r>
  <r>
    <s v="ORD1395"/>
    <x v="287"/>
    <s v="P008"/>
    <x v="2"/>
    <x v="2"/>
    <s v=" glowbeauty "/>
    <x v="1"/>
    <x v="0"/>
    <x v="1"/>
    <x v="0"/>
    <n v="4"/>
    <n v="1011"/>
    <n v="4044"/>
    <n v="4626"/>
    <n v="0.1"/>
    <n v="18504"/>
    <n v="14460"/>
    <n v="3"/>
  </r>
  <r>
    <s v="ORD1396"/>
    <x v="288"/>
    <s v="P004"/>
    <x v="8"/>
    <x v="3"/>
    <s v="GlowBeauty"/>
    <x v="1"/>
    <x v="0"/>
    <x v="0"/>
    <x v="1"/>
    <n v="3"/>
    <n v="10810"/>
    <n v="32430"/>
    <n v="17943"/>
    <n v="0.05"/>
    <n v="53829"/>
    <n v="21399"/>
    <s v="N/A"/>
  </r>
  <r>
    <s v="ORD1397"/>
    <x v="253"/>
    <s v="P010"/>
    <x v="1"/>
    <x v="1"/>
    <s v="N/A"/>
    <x v="1"/>
    <x v="1"/>
    <x v="1"/>
    <x v="1"/>
    <n v="5"/>
    <n v="1658"/>
    <n v="8290"/>
    <n v="7997"/>
    <n v="0.1"/>
    <n v="39985"/>
    <n v="31695"/>
    <n v="5"/>
  </r>
  <r>
    <s v="ORD1398"/>
    <x v="289"/>
    <s v="P009"/>
    <x v="14"/>
    <x v="1"/>
    <s v="DermaCare"/>
    <x v="0"/>
    <x v="2"/>
    <x v="1"/>
    <x v="1"/>
    <n v="4"/>
    <n v="7364"/>
    <n v="29456"/>
    <n v="14191"/>
    <n v="0.02"/>
    <n v="56764"/>
    <n v="27308"/>
    <n v="2"/>
  </r>
  <r>
    <s v="ORD1399"/>
    <x v="290"/>
    <s v="P010"/>
    <x v="1"/>
    <x v="1"/>
    <s v="PureSkin"/>
    <x v="0"/>
    <x v="2"/>
    <x v="3"/>
    <x v="0"/>
    <n v="4"/>
    <n v="7418"/>
    <n v="29672"/>
    <n v="11678"/>
    <n v="0.05"/>
    <n v="46712"/>
    <n v="17040"/>
    <n v="1"/>
  </r>
  <r>
    <s v="ORD1400"/>
    <x v="291"/>
    <s v="P001"/>
    <x v="3"/>
    <x v="3"/>
    <s v=" glowbeauty "/>
    <x v="1"/>
    <x v="1"/>
    <x v="1"/>
    <x v="1"/>
    <n v="1"/>
    <n v="13645"/>
    <n v="13645"/>
    <n v="19752"/>
    <n v="0"/>
    <n v="19752"/>
    <n v="6107"/>
    <n v="3"/>
  </r>
  <r>
    <s v="ORD1401"/>
    <x v="292"/>
    <s v="P004"/>
    <x v="8"/>
    <x v="3"/>
    <s v="PureSkin"/>
    <x v="0"/>
    <x v="1"/>
    <x v="0"/>
    <x v="0"/>
    <n v="4"/>
    <n v="10216"/>
    <n v="40864"/>
    <n v="15426"/>
    <n v="0.1"/>
    <n v="61704"/>
    <n v="20840"/>
    <n v="2"/>
  </r>
  <r>
    <s v="ORD1402"/>
    <x v="293"/>
    <s v="P003"/>
    <x v="13"/>
    <x v="3"/>
    <s v="GlowBeauty"/>
    <x v="0"/>
    <x v="0"/>
    <x v="3"/>
    <x v="2"/>
    <n v="4"/>
    <n v="7707"/>
    <n v="30828"/>
    <n v="11872"/>
    <n v="0"/>
    <n v="47488"/>
    <n v="16660"/>
    <n v="4"/>
  </r>
  <r>
    <s v="ORD1403"/>
    <x v="251"/>
    <s v="P015"/>
    <x v="5"/>
    <x v="4"/>
    <s v="N/A"/>
    <x v="1"/>
    <x v="2"/>
    <x v="1"/>
    <x v="2"/>
    <n v="5"/>
    <n v="4780"/>
    <n v="23900"/>
    <n v="7645"/>
    <n v="0.02"/>
    <n v="38225"/>
    <n v="14325"/>
    <n v="5"/>
  </r>
  <r>
    <s v="ORD1404"/>
    <x v="294"/>
    <s v="P004"/>
    <x v="8"/>
    <x v="3"/>
    <s v=" glowbeauty "/>
    <x v="1"/>
    <x v="1"/>
    <x v="2"/>
    <x v="3"/>
    <n v="3"/>
    <n v="12637"/>
    <n v="37911"/>
    <n v="19347"/>
    <n v="0"/>
    <n v="58041"/>
    <n v="20130"/>
    <n v="2"/>
  </r>
  <r>
    <s v="ORD1405"/>
    <x v="295"/>
    <s v="P018"/>
    <x v="11"/>
    <x v="4"/>
    <s v="N/A"/>
    <x v="1"/>
    <x v="1"/>
    <x v="3"/>
    <x v="1"/>
    <n v="7"/>
    <n v="14016"/>
    <n v="98112"/>
    <n v="19284"/>
    <n v="0.02"/>
    <n v="134988"/>
    <n v="36876"/>
    <n v="5"/>
  </r>
  <r>
    <s v="ORD1406"/>
    <x v="163"/>
    <s v="P015"/>
    <x v="5"/>
    <x v="4"/>
    <s v="N/A"/>
    <x v="1"/>
    <x v="0"/>
    <x v="0"/>
    <x v="1"/>
    <n v="2"/>
    <n v="14713"/>
    <n v="29426"/>
    <n v="17070"/>
    <n v="0.02"/>
    <n v="34140"/>
    <n v="4714"/>
    <n v="2"/>
  </r>
  <r>
    <s v="ORD1407"/>
    <x v="78"/>
    <s v="P010"/>
    <x v="1"/>
    <x v="1"/>
    <s v="N/A"/>
    <x v="0"/>
    <x v="2"/>
    <x v="2"/>
    <x v="0"/>
    <n v="7"/>
    <n v="3891"/>
    <n v="27237"/>
    <n v="7879"/>
    <n v="0.02"/>
    <n v="55153"/>
    <n v="27916"/>
    <n v="3"/>
  </r>
  <r>
    <s v="ORD1408"/>
    <x v="94"/>
    <s v="P010"/>
    <x v="1"/>
    <x v="1"/>
    <s v="PureSkin"/>
    <x v="1"/>
    <x v="2"/>
    <x v="1"/>
    <x v="2"/>
    <n v="3"/>
    <n v="12022"/>
    <n v="36066"/>
    <n v="19503"/>
    <n v="0"/>
    <n v="58509"/>
    <n v="22443"/>
    <n v="4"/>
  </r>
  <r>
    <s v="ORD1409"/>
    <x v="140"/>
    <s v="P001"/>
    <x v="3"/>
    <x v="3"/>
    <s v="SkinLab"/>
    <x v="0"/>
    <x v="2"/>
    <x v="0"/>
    <x v="1"/>
    <n v="2"/>
    <n v="10437"/>
    <n v="20874"/>
    <n v="16010"/>
    <n v="0.04"/>
    <n v="32020"/>
    <n v="11146"/>
    <n v="2"/>
  </r>
  <r>
    <s v="ORD1410"/>
    <x v="92"/>
    <s v="P008"/>
    <x v="2"/>
    <x v="2"/>
    <s v="SkinLab"/>
    <x v="0"/>
    <x v="0"/>
    <x v="1"/>
    <x v="0"/>
    <n v="3"/>
    <n v="10345"/>
    <n v="31035"/>
    <n v="17064"/>
    <n v="0.1"/>
    <n v="51192"/>
    <n v="20157"/>
    <n v="2"/>
  </r>
  <r>
    <s v="ORD1411"/>
    <x v="31"/>
    <s v="P015"/>
    <x v="5"/>
    <x v="4"/>
    <s v="GlowBeauty"/>
    <x v="1"/>
    <x v="0"/>
    <x v="1"/>
    <x v="1"/>
    <n v="7"/>
    <n v="14521"/>
    <n v="101647"/>
    <n v="17119"/>
    <n v="0"/>
    <n v="119833"/>
    <n v="18186"/>
    <s v="N/A"/>
  </r>
  <r>
    <s v="ORD1412"/>
    <x v="35"/>
    <s v="P005"/>
    <x v="12"/>
    <x v="3"/>
    <s v="N/A"/>
    <x v="1"/>
    <x v="2"/>
    <x v="1"/>
    <x v="1"/>
    <n v="8"/>
    <n v="1847"/>
    <n v="14776"/>
    <n v="9665"/>
    <n v="0.04"/>
    <n v="77320"/>
    <n v="62544"/>
    <n v="3"/>
  </r>
  <r>
    <s v="ORD1413"/>
    <x v="68"/>
    <s v="P018"/>
    <x v="11"/>
    <x v="4"/>
    <s v=" glowbeauty "/>
    <x v="0"/>
    <x v="0"/>
    <x v="1"/>
    <x v="1"/>
    <n v="3"/>
    <n v="12908"/>
    <n v="38724"/>
    <n v="19934"/>
    <n v="0"/>
    <n v="59802"/>
    <n v="21078"/>
    <n v="2"/>
  </r>
  <r>
    <s v="ORD1414"/>
    <x v="66"/>
    <s v="P003"/>
    <x v="13"/>
    <x v="3"/>
    <s v="DermaCare"/>
    <x v="0"/>
    <x v="2"/>
    <x v="1"/>
    <x v="2"/>
    <n v="6"/>
    <n v="9058"/>
    <n v="54348"/>
    <n v="14716"/>
    <n v="0"/>
    <n v="88296"/>
    <n v="33948"/>
    <n v="2"/>
  </r>
  <r>
    <s v="ORD1415"/>
    <x v="113"/>
    <s v="P005"/>
    <x v="12"/>
    <x v="3"/>
    <s v="GlowBeauty"/>
    <x v="0"/>
    <x v="2"/>
    <x v="1"/>
    <x v="0"/>
    <n v="2"/>
    <n v="14257"/>
    <n v="28514"/>
    <n v="17948"/>
    <n v="0.04"/>
    <n v="35896"/>
    <n v="7382"/>
    <s v="N/A"/>
  </r>
  <r>
    <s v="ORD1416"/>
    <x v="94"/>
    <s v="P008"/>
    <x v="2"/>
    <x v="2"/>
    <s v="GlowBeauty"/>
    <x v="0"/>
    <x v="2"/>
    <x v="1"/>
    <x v="0"/>
    <n v="6"/>
    <n v="13051"/>
    <n v="78306"/>
    <n v="16858"/>
    <n v="0.1"/>
    <n v="101148"/>
    <n v="22842"/>
    <n v="5"/>
  </r>
  <r>
    <s v="ORD1417"/>
    <x v="296"/>
    <s v="P010"/>
    <x v="1"/>
    <x v="1"/>
    <s v="GlowBeauty"/>
    <x v="1"/>
    <x v="1"/>
    <x v="1"/>
    <x v="2"/>
    <n v="7"/>
    <n v="2302"/>
    <n v="16114"/>
    <n v="6014"/>
    <n v="0.1"/>
    <n v="42098"/>
    <n v="25984"/>
    <n v="5"/>
  </r>
  <r>
    <s v="ORD1418"/>
    <x v="219"/>
    <s v="P005"/>
    <x v="12"/>
    <x v="3"/>
    <s v="DermaCare"/>
    <x v="1"/>
    <x v="1"/>
    <x v="1"/>
    <x v="0"/>
    <n v="3"/>
    <n v="13646"/>
    <n v="40938"/>
    <n v="16458"/>
    <n v="0.02"/>
    <n v="49374"/>
    <n v="8436"/>
    <n v="5"/>
  </r>
  <r>
    <s v="ORD1419"/>
    <x v="297"/>
    <s v="P004"/>
    <x v="8"/>
    <x v="3"/>
    <s v=" glowbeauty "/>
    <x v="0"/>
    <x v="1"/>
    <x v="1"/>
    <x v="2"/>
    <n v="6"/>
    <n v="13961"/>
    <n v="83766"/>
    <n v="19228"/>
    <n v="0"/>
    <n v="115368"/>
    <n v="31602"/>
    <n v="1"/>
  </r>
  <r>
    <s v="ORD1420"/>
    <x v="124"/>
    <s v="P015"/>
    <x v="5"/>
    <x v="4"/>
    <s v="N/A"/>
    <x v="0"/>
    <x v="0"/>
    <x v="1"/>
    <x v="1"/>
    <n v="1"/>
    <n v="9502"/>
    <n v="9502"/>
    <n v="17016"/>
    <n v="0.05"/>
    <n v="17016"/>
    <n v="7514"/>
    <n v="2"/>
  </r>
  <r>
    <s v="ORD1421"/>
    <x v="158"/>
    <s v="P015"/>
    <x v="5"/>
    <x v="4"/>
    <s v="GlowBeauty"/>
    <x v="0"/>
    <x v="0"/>
    <x v="3"/>
    <x v="1"/>
    <n v="6"/>
    <n v="14134"/>
    <n v="84804"/>
    <n v="15109"/>
    <n v="0.05"/>
    <n v="90654"/>
    <n v="5850"/>
    <n v="4"/>
  </r>
  <r>
    <s v="ORD1422"/>
    <x v="298"/>
    <s v="P011"/>
    <x v="7"/>
    <x v="1"/>
    <s v="N/A"/>
    <x v="1"/>
    <x v="0"/>
    <x v="3"/>
    <x v="0"/>
    <n v="7"/>
    <n v="14997"/>
    <n v="104979"/>
    <n v="22423"/>
    <n v="0"/>
    <n v="156961"/>
    <n v="51982"/>
    <s v="N/A"/>
  </r>
  <r>
    <s v="ORD1423"/>
    <x v="269"/>
    <s v="P007"/>
    <x v="10"/>
    <x v="2"/>
    <s v="N/A"/>
    <x v="0"/>
    <x v="1"/>
    <x v="1"/>
    <x v="0"/>
    <n v="7"/>
    <n v="3911"/>
    <n v="27377"/>
    <n v="4951"/>
    <n v="0"/>
    <n v="34657"/>
    <n v="7280"/>
    <n v="3"/>
  </r>
  <r>
    <s v="ORD1424"/>
    <x v="299"/>
    <s v="P007"/>
    <x v="10"/>
    <x v="2"/>
    <s v="PureSkin"/>
    <x v="1"/>
    <x v="2"/>
    <x v="1"/>
    <x v="3"/>
    <n v="2"/>
    <n v="13482"/>
    <n v="26964"/>
    <n v="20899"/>
    <n v="0.02"/>
    <n v="41798"/>
    <n v="14834"/>
    <n v="4"/>
  </r>
  <r>
    <s v="ORD1425"/>
    <x v="300"/>
    <s v="P009"/>
    <x v="14"/>
    <x v="1"/>
    <s v="PureSkin"/>
    <x v="0"/>
    <x v="0"/>
    <x v="1"/>
    <x v="1"/>
    <n v="4"/>
    <n v="11742"/>
    <n v="46968"/>
    <n v="17101"/>
    <n v="0.04"/>
    <n v="68404"/>
    <n v="21436"/>
    <n v="1"/>
  </r>
  <r>
    <s v="ORD1426"/>
    <x v="301"/>
    <s v="P013"/>
    <x v="15"/>
    <x v="0"/>
    <s v="PureSkin"/>
    <x v="0"/>
    <x v="2"/>
    <x v="1"/>
    <x v="1"/>
    <n v="5"/>
    <n v="11901"/>
    <n v="59505"/>
    <n v="18283"/>
    <n v="0"/>
    <n v="91415"/>
    <n v="31910"/>
    <n v="5"/>
  </r>
  <r>
    <s v="ORD1427"/>
    <x v="82"/>
    <s v="P005"/>
    <x v="12"/>
    <x v="3"/>
    <s v="N/A"/>
    <x v="0"/>
    <x v="1"/>
    <x v="3"/>
    <x v="2"/>
    <n v="8"/>
    <n v="7532"/>
    <n v="60256"/>
    <n v="10154"/>
    <n v="0.02"/>
    <n v="81232"/>
    <n v="20976"/>
    <n v="3"/>
  </r>
  <r>
    <s v="ORD1428"/>
    <x v="234"/>
    <s v="P008"/>
    <x v="2"/>
    <x v="2"/>
    <s v="N/A"/>
    <x v="1"/>
    <x v="0"/>
    <x v="1"/>
    <x v="2"/>
    <n v="1"/>
    <n v="14405"/>
    <n v="14405"/>
    <n v="21885"/>
    <n v="0.1"/>
    <n v="21885"/>
    <n v="7480"/>
    <s v="N/A"/>
  </r>
  <r>
    <s v="ORD1429"/>
    <x v="302"/>
    <s v="P011"/>
    <x v="7"/>
    <x v="1"/>
    <s v="PureSkin"/>
    <x v="1"/>
    <x v="1"/>
    <x v="1"/>
    <x v="2"/>
    <n v="8"/>
    <n v="8035"/>
    <n v="64280"/>
    <n v="9710"/>
    <n v="0.02"/>
    <n v="77680"/>
    <n v="13400"/>
    <n v="4"/>
  </r>
  <r>
    <s v="ORD1430"/>
    <x v="303"/>
    <s v="P001"/>
    <x v="3"/>
    <x v="3"/>
    <s v="DermaCare"/>
    <x v="1"/>
    <x v="2"/>
    <x v="1"/>
    <x v="3"/>
    <n v="7"/>
    <n v="14104"/>
    <n v="98728"/>
    <n v="21840"/>
    <n v="0.04"/>
    <n v="152880"/>
    <n v="54152"/>
    <n v="5"/>
  </r>
  <r>
    <s v="ORD1431"/>
    <x v="128"/>
    <s v="P014"/>
    <x v="4"/>
    <x v="4"/>
    <s v="PureSkin"/>
    <x v="0"/>
    <x v="1"/>
    <x v="1"/>
    <x v="0"/>
    <n v="7"/>
    <n v="14260"/>
    <n v="99820"/>
    <n v="18997"/>
    <n v="0"/>
    <n v="132979"/>
    <n v="33159"/>
    <n v="3"/>
  </r>
  <r>
    <s v="ORD1432"/>
    <x v="263"/>
    <s v="P016"/>
    <x v="16"/>
    <x v="4"/>
    <s v="SkinLab"/>
    <x v="0"/>
    <x v="2"/>
    <x v="3"/>
    <x v="3"/>
    <n v="2"/>
    <n v="8739"/>
    <n v="17478"/>
    <n v="10962"/>
    <n v="0.04"/>
    <n v="21924"/>
    <n v="4446"/>
    <n v="3"/>
  </r>
  <r>
    <s v="ORD1433"/>
    <x v="230"/>
    <s v="P012"/>
    <x v="0"/>
    <x v="0"/>
    <s v=" glowbeauty "/>
    <x v="0"/>
    <x v="2"/>
    <x v="1"/>
    <x v="0"/>
    <n v="2"/>
    <n v="11829"/>
    <n v="23658"/>
    <n v="16986"/>
    <n v="0.1"/>
    <n v="33972"/>
    <n v="10314"/>
    <s v="N/A"/>
  </r>
  <r>
    <s v="ORD1434"/>
    <x v="304"/>
    <s v="P014"/>
    <x v="4"/>
    <x v="4"/>
    <s v="DermaCare"/>
    <x v="0"/>
    <x v="2"/>
    <x v="1"/>
    <x v="2"/>
    <n v="1"/>
    <n v="5399"/>
    <n v="5399"/>
    <n v="12313"/>
    <n v="0.05"/>
    <n v="12313"/>
    <n v="6914"/>
    <n v="4"/>
  </r>
  <r>
    <s v="ORD1435"/>
    <x v="305"/>
    <s v="P017"/>
    <x v="6"/>
    <x v="4"/>
    <s v=" glowbeauty "/>
    <x v="0"/>
    <x v="2"/>
    <x v="3"/>
    <x v="3"/>
    <n v="1"/>
    <n v="14077"/>
    <n v="14077"/>
    <n v="16510"/>
    <n v="0.1"/>
    <n v="16510"/>
    <n v="2433"/>
    <n v="5"/>
  </r>
  <r>
    <s v="ORD1436"/>
    <x v="162"/>
    <s v="P013"/>
    <x v="15"/>
    <x v="0"/>
    <s v=" glowbeauty "/>
    <x v="0"/>
    <x v="0"/>
    <x v="1"/>
    <x v="0"/>
    <n v="3"/>
    <n v="2007"/>
    <n v="6021"/>
    <n v="4556"/>
    <n v="0.05"/>
    <n v="13668"/>
    <n v="7647"/>
    <n v="5"/>
  </r>
  <r>
    <s v="ORD1437"/>
    <x v="156"/>
    <s v="P008"/>
    <x v="2"/>
    <x v="2"/>
    <s v="GlowBeauty"/>
    <x v="1"/>
    <x v="2"/>
    <x v="1"/>
    <x v="2"/>
    <n v="7"/>
    <n v="6631"/>
    <n v="46417"/>
    <n v="14554"/>
    <n v="0"/>
    <n v="101878"/>
    <n v="55461"/>
    <n v="1"/>
  </r>
  <r>
    <s v="ORD1438"/>
    <x v="306"/>
    <s v="P018"/>
    <x v="11"/>
    <x v="4"/>
    <s v="N/A"/>
    <x v="0"/>
    <x v="2"/>
    <x v="1"/>
    <x v="0"/>
    <n v="3"/>
    <n v="9761"/>
    <n v="29283"/>
    <n v="15864"/>
    <n v="0.02"/>
    <n v="47592"/>
    <n v="18309"/>
    <n v="4"/>
  </r>
  <r>
    <s v="ORD1439"/>
    <x v="307"/>
    <s v="P011"/>
    <x v="7"/>
    <x v="1"/>
    <s v="PureSkin"/>
    <x v="0"/>
    <x v="0"/>
    <x v="3"/>
    <x v="2"/>
    <n v="3"/>
    <n v="5567"/>
    <n v="16701"/>
    <n v="7222"/>
    <n v="0"/>
    <n v="21666"/>
    <n v="4965"/>
    <n v="2"/>
  </r>
  <r>
    <s v="ORD1440"/>
    <x v="297"/>
    <s v="P002"/>
    <x v="3"/>
    <x v="3"/>
    <s v="PureSkin"/>
    <x v="1"/>
    <x v="0"/>
    <x v="1"/>
    <x v="2"/>
    <n v="2"/>
    <n v="6585"/>
    <n v="13170"/>
    <n v="13998"/>
    <n v="0.05"/>
    <n v="27996"/>
    <n v="14826"/>
    <n v="2"/>
  </r>
  <r>
    <s v="ORD1441"/>
    <x v="308"/>
    <s v="P006"/>
    <x v="9"/>
    <x v="2"/>
    <s v="GlowBeauty"/>
    <x v="1"/>
    <x v="0"/>
    <x v="1"/>
    <x v="3"/>
    <n v="6"/>
    <n v="2814"/>
    <n v="16884"/>
    <n v="5889"/>
    <n v="0.1"/>
    <n v="35334"/>
    <n v="18450"/>
    <n v="1"/>
  </r>
  <r>
    <s v="ORD1442"/>
    <x v="309"/>
    <s v="P004"/>
    <x v="8"/>
    <x v="3"/>
    <s v="N/A"/>
    <x v="0"/>
    <x v="0"/>
    <x v="1"/>
    <x v="0"/>
    <n v="1"/>
    <n v="12699"/>
    <n v="12699"/>
    <n v="15641"/>
    <n v="0.1"/>
    <n v="15641"/>
    <n v="2942"/>
    <n v="2"/>
  </r>
  <r>
    <s v="ORD1443"/>
    <x v="231"/>
    <s v="P001"/>
    <x v="3"/>
    <x v="3"/>
    <s v="SkinLab"/>
    <x v="0"/>
    <x v="0"/>
    <x v="1"/>
    <x v="2"/>
    <n v="1"/>
    <n v="3577"/>
    <n v="3577"/>
    <n v="7694"/>
    <n v="0"/>
    <n v="7694"/>
    <n v="4117"/>
    <n v="3"/>
  </r>
  <r>
    <s v="ORD1444"/>
    <x v="310"/>
    <s v="P011"/>
    <x v="7"/>
    <x v="1"/>
    <s v="N/A"/>
    <x v="0"/>
    <x v="0"/>
    <x v="1"/>
    <x v="1"/>
    <n v="8"/>
    <n v="12881"/>
    <n v="103048"/>
    <n v="15801"/>
    <n v="0.05"/>
    <n v="126408"/>
    <n v="23360"/>
    <n v="3"/>
  </r>
  <r>
    <s v="ORD1445"/>
    <x v="311"/>
    <s v="P001"/>
    <x v="3"/>
    <x v="3"/>
    <s v="PureSkin"/>
    <x v="1"/>
    <x v="1"/>
    <x v="3"/>
    <x v="3"/>
    <n v="2"/>
    <n v="14190"/>
    <n v="28380"/>
    <n v="21114"/>
    <n v="0.1"/>
    <n v="42228"/>
    <n v="13848"/>
    <n v="2"/>
  </r>
  <r>
    <s v="ORD1446"/>
    <x v="247"/>
    <s v="P008"/>
    <x v="2"/>
    <x v="2"/>
    <s v="N/A"/>
    <x v="0"/>
    <x v="0"/>
    <x v="2"/>
    <x v="1"/>
    <n v="3"/>
    <n v="5834"/>
    <n v="17502"/>
    <n v="8801"/>
    <n v="0.05"/>
    <n v="26403"/>
    <n v="8901"/>
    <n v="2"/>
  </r>
  <r>
    <s v="ORD1447"/>
    <x v="309"/>
    <s v="P017"/>
    <x v="6"/>
    <x v="4"/>
    <s v="N/A"/>
    <x v="0"/>
    <x v="1"/>
    <x v="0"/>
    <x v="1"/>
    <n v="6"/>
    <n v="3082"/>
    <n v="18492"/>
    <n v="5198"/>
    <n v="0.04"/>
    <n v="31188"/>
    <n v="12696"/>
    <n v="3"/>
  </r>
  <r>
    <s v="ORD1448"/>
    <x v="312"/>
    <s v="P011"/>
    <x v="7"/>
    <x v="1"/>
    <s v=" glowbeauty "/>
    <x v="0"/>
    <x v="0"/>
    <x v="1"/>
    <x v="3"/>
    <n v="8"/>
    <n v="2668"/>
    <n v="21344"/>
    <n v="9409"/>
    <n v="0.1"/>
    <n v="75272"/>
    <n v="53928"/>
    <n v="5"/>
  </r>
  <r>
    <s v="ORD1449"/>
    <x v="215"/>
    <s v="P015"/>
    <x v="5"/>
    <x v="4"/>
    <s v="DermaCare"/>
    <x v="0"/>
    <x v="1"/>
    <x v="2"/>
    <x v="3"/>
    <n v="1"/>
    <n v="8662"/>
    <n v="8662"/>
    <n v="14696"/>
    <n v="0.04"/>
    <n v="14696"/>
    <n v="6034"/>
    <n v="4"/>
  </r>
  <r>
    <s v="ORD1450"/>
    <x v="22"/>
    <s v="P017"/>
    <x v="6"/>
    <x v="4"/>
    <s v="PureSkin"/>
    <x v="0"/>
    <x v="2"/>
    <x v="1"/>
    <x v="1"/>
    <n v="1"/>
    <n v="6975"/>
    <n v="6975"/>
    <n v="8601"/>
    <n v="0.02"/>
    <n v="8601"/>
    <n v="1626"/>
    <s v="N/A"/>
  </r>
  <r>
    <s v="ORD1451"/>
    <x v="313"/>
    <s v="P011"/>
    <x v="7"/>
    <x v="1"/>
    <s v="SkinLab"/>
    <x v="0"/>
    <x v="0"/>
    <x v="1"/>
    <x v="1"/>
    <n v="1"/>
    <n v="12813"/>
    <n v="12813"/>
    <n v="17070"/>
    <n v="0"/>
    <n v="17070"/>
    <n v="4257"/>
    <n v="3"/>
  </r>
  <r>
    <s v="ORD1452"/>
    <x v="314"/>
    <s v="P013"/>
    <x v="15"/>
    <x v="0"/>
    <s v="DermaCare"/>
    <x v="0"/>
    <x v="1"/>
    <x v="1"/>
    <x v="3"/>
    <n v="5"/>
    <n v="1572"/>
    <n v="7860"/>
    <n v="7910"/>
    <n v="0.02"/>
    <n v="39550"/>
    <n v="31690"/>
    <n v="5"/>
  </r>
  <r>
    <s v="ORD1453"/>
    <x v="244"/>
    <s v="P001"/>
    <x v="3"/>
    <x v="3"/>
    <s v="N/A"/>
    <x v="1"/>
    <x v="2"/>
    <x v="3"/>
    <x v="0"/>
    <n v="6"/>
    <n v="1814"/>
    <n v="10884"/>
    <n v="4275"/>
    <n v="0.04"/>
    <n v="25650"/>
    <n v="14766"/>
    <n v="2"/>
  </r>
  <r>
    <s v="ORD1454"/>
    <x v="315"/>
    <s v="P018"/>
    <x v="11"/>
    <x v="4"/>
    <s v="GlowBeauty"/>
    <x v="0"/>
    <x v="0"/>
    <x v="1"/>
    <x v="0"/>
    <n v="3"/>
    <n v="9668"/>
    <n v="29004"/>
    <n v="17505"/>
    <n v="0.1"/>
    <n v="52515"/>
    <n v="23511"/>
    <n v="3"/>
  </r>
  <r>
    <s v="ORD1455"/>
    <x v="316"/>
    <s v="P007"/>
    <x v="10"/>
    <x v="2"/>
    <s v="N/A"/>
    <x v="0"/>
    <x v="1"/>
    <x v="0"/>
    <x v="1"/>
    <n v="5"/>
    <n v="2433"/>
    <n v="12165"/>
    <n v="9144"/>
    <n v="0"/>
    <n v="45720"/>
    <n v="33555"/>
    <n v="5"/>
  </r>
  <r>
    <s v="ORD1456"/>
    <x v="317"/>
    <s v="P012"/>
    <x v="0"/>
    <x v="0"/>
    <s v=" glowbeauty "/>
    <x v="1"/>
    <x v="2"/>
    <x v="3"/>
    <x v="2"/>
    <n v="1"/>
    <n v="12735"/>
    <n v="12735"/>
    <n v="15598"/>
    <n v="0.02"/>
    <n v="15598"/>
    <n v="2863"/>
    <n v="5"/>
  </r>
  <r>
    <s v="ORD1457"/>
    <x v="271"/>
    <s v="P017"/>
    <x v="6"/>
    <x v="4"/>
    <s v="DermaCare"/>
    <x v="1"/>
    <x v="1"/>
    <x v="1"/>
    <x v="2"/>
    <n v="4"/>
    <n v="11266"/>
    <n v="45064"/>
    <n v="14593"/>
    <n v="0.04"/>
    <n v="58372"/>
    <n v="13308"/>
    <s v="N/A"/>
  </r>
  <r>
    <s v="ORD1458"/>
    <x v="237"/>
    <s v="P001"/>
    <x v="3"/>
    <x v="3"/>
    <s v=" glowbeauty "/>
    <x v="0"/>
    <x v="0"/>
    <x v="1"/>
    <x v="1"/>
    <n v="8"/>
    <n v="11169"/>
    <n v="89352"/>
    <n v="17423"/>
    <n v="0.1"/>
    <n v="139384"/>
    <n v="50032"/>
    <n v="3"/>
  </r>
  <r>
    <s v="ORD1459"/>
    <x v="90"/>
    <s v="P007"/>
    <x v="10"/>
    <x v="2"/>
    <s v="DermaCare"/>
    <x v="0"/>
    <x v="0"/>
    <x v="1"/>
    <x v="3"/>
    <n v="8"/>
    <n v="14204"/>
    <n v="113632"/>
    <n v="15509"/>
    <n v="0.1"/>
    <n v="124072"/>
    <n v="10440"/>
    <n v="3"/>
  </r>
  <r>
    <s v="ORD1460"/>
    <x v="256"/>
    <s v="P016"/>
    <x v="16"/>
    <x v="4"/>
    <s v="PureSkin"/>
    <x v="0"/>
    <x v="1"/>
    <x v="1"/>
    <x v="2"/>
    <n v="1"/>
    <n v="7746"/>
    <n v="7746"/>
    <n v="9540"/>
    <n v="0.1"/>
    <n v="9540"/>
    <n v="1794"/>
    <n v="1"/>
  </r>
  <r>
    <s v="ORD1461"/>
    <x v="318"/>
    <s v="P010"/>
    <x v="1"/>
    <x v="1"/>
    <s v="SkinLab"/>
    <x v="1"/>
    <x v="1"/>
    <x v="1"/>
    <x v="1"/>
    <n v="4"/>
    <n v="3805"/>
    <n v="15220"/>
    <n v="8724"/>
    <n v="0.04"/>
    <n v="34896"/>
    <n v="19676"/>
    <n v="5"/>
  </r>
  <r>
    <s v="ORD1462"/>
    <x v="109"/>
    <s v="P014"/>
    <x v="4"/>
    <x v="4"/>
    <s v="SkinLab"/>
    <x v="1"/>
    <x v="0"/>
    <x v="1"/>
    <x v="2"/>
    <n v="2"/>
    <n v="1330"/>
    <n v="2660"/>
    <n v="2801"/>
    <n v="0.04"/>
    <n v="5602"/>
    <n v="2942"/>
    <n v="3"/>
  </r>
  <r>
    <s v="ORD1463"/>
    <x v="241"/>
    <s v="P008"/>
    <x v="2"/>
    <x v="2"/>
    <s v="DermaCare"/>
    <x v="0"/>
    <x v="0"/>
    <x v="2"/>
    <x v="0"/>
    <n v="6"/>
    <n v="12582"/>
    <n v="75492"/>
    <n v="13751"/>
    <n v="0.04"/>
    <n v="82506"/>
    <n v="7014"/>
    <n v="4"/>
  </r>
  <r>
    <s v="ORD1464"/>
    <x v="18"/>
    <s v="P012"/>
    <x v="0"/>
    <x v="0"/>
    <s v="DermaCare"/>
    <x v="0"/>
    <x v="2"/>
    <x v="3"/>
    <x v="2"/>
    <n v="7"/>
    <n v="6871"/>
    <n v="48097"/>
    <n v="11988"/>
    <n v="0.02"/>
    <n v="83916"/>
    <n v="35819"/>
    <n v="2"/>
  </r>
  <r>
    <s v="ORD1465"/>
    <x v="319"/>
    <s v="P015"/>
    <x v="5"/>
    <x v="4"/>
    <s v="PureSkin"/>
    <x v="0"/>
    <x v="1"/>
    <x v="1"/>
    <x v="1"/>
    <n v="8"/>
    <n v="4021"/>
    <n v="32168"/>
    <n v="8771"/>
    <n v="0.05"/>
    <n v="70168"/>
    <n v="38000"/>
    <n v="3"/>
  </r>
  <r>
    <s v="ORD1466"/>
    <x v="42"/>
    <s v="P009"/>
    <x v="14"/>
    <x v="1"/>
    <s v=" glowbeauty "/>
    <x v="0"/>
    <x v="2"/>
    <x v="1"/>
    <x v="1"/>
    <n v="8"/>
    <n v="6865"/>
    <n v="54920"/>
    <n v="8337"/>
    <n v="0.02"/>
    <n v="66696"/>
    <n v="11776"/>
    <n v="5"/>
  </r>
  <r>
    <s v="ORD1467"/>
    <x v="186"/>
    <s v="P010"/>
    <x v="1"/>
    <x v="1"/>
    <s v="SkinLab"/>
    <x v="0"/>
    <x v="0"/>
    <x v="2"/>
    <x v="2"/>
    <n v="4"/>
    <n v="1242"/>
    <n v="4968"/>
    <n v="8566"/>
    <n v="0.04"/>
    <n v="34264"/>
    <n v="29296"/>
    <n v="2"/>
  </r>
  <r>
    <s v="ORD1468"/>
    <x v="165"/>
    <s v="P015"/>
    <x v="5"/>
    <x v="4"/>
    <s v=" glowbeauty "/>
    <x v="0"/>
    <x v="1"/>
    <x v="1"/>
    <x v="0"/>
    <n v="5"/>
    <n v="10047"/>
    <n v="50235"/>
    <n v="16401"/>
    <n v="0"/>
    <n v="82005"/>
    <n v="31770"/>
    <n v="4"/>
  </r>
  <r>
    <s v="ORD1469"/>
    <x v="320"/>
    <s v="P004"/>
    <x v="8"/>
    <x v="3"/>
    <s v="GlowBeauty"/>
    <x v="1"/>
    <x v="2"/>
    <x v="3"/>
    <x v="0"/>
    <n v="1"/>
    <n v="6073"/>
    <n v="6073"/>
    <n v="8434"/>
    <n v="0.02"/>
    <n v="8434"/>
    <n v="2361"/>
    <n v="5"/>
  </r>
  <r>
    <s v="ORD1470"/>
    <x v="321"/>
    <s v="P003"/>
    <x v="13"/>
    <x v="3"/>
    <s v="SkinLab"/>
    <x v="0"/>
    <x v="1"/>
    <x v="1"/>
    <x v="2"/>
    <n v="5"/>
    <n v="2393"/>
    <n v="11965"/>
    <n v="6029"/>
    <n v="0.1"/>
    <n v="30145"/>
    <n v="18180"/>
    <n v="4"/>
  </r>
  <r>
    <s v="ORD1471"/>
    <x v="322"/>
    <s v="P006"/>
    <x v="9"/>
    <x v="2"/>
    <s v="GlowBeauty"/>
    <x v="0"/>
    <x v="1"/>
    <x v="1"/>
    <x v="0"/>
    <n v="2"/>
    <n v="13664"/>
    <n v="27328"/>
    <n v="16763"/>
    <n v="0.02"/>
    <n v="33526"/>
    <n v="6198"/>
    <s v="N/A"/>
  </r>
  <r>
    <s v="ORD1472"/>
    <x v="76"/>
    <s v="P002"/>
    <x v="3"/>
    <x v="3"/>
    <s v="N/A"/>
    <x v="1"/>
    <x v="2"/>
    <x v="1"/>
    <x v="3"/>
    <n v="4"/>
    <n v="14009"/>
    <n v="56036"/>
    <n v="15010"/>
    <n v="0.02"/>
    <n v="60040"/>
    <n v="4004"/>
    <n v="3"/>
  </r>
  <r>
    <s v="ORD1473"/>
    <x v="323"/>
    <s v="P012"/>
    <x v="0"/>
    <x v="0"/>
    <s v="DermaCare"/>
    <x v="1"/>
    <x v="0"/>
    <x v="1"/>
    <x v="0"/>
    <n v="1"/>
    <n v="2043"/>
    <n v="2043"/>
    <n v="5016"/>
    <n v="0.02"/>
    <n v="5016"/>
    <n v="2973"/>
    <n v="1"/>
  </r>
  <r>
    <s v="ORD1474"/>
    <x v="134"/>
    <s v="P005"/>
    <x v="12"/>
    <x v="3"/>
    <s v="DermaCare"/>
    <x v="0"/>
    <x v="2"/>
    <x v="1"/>
    <x v="0"/>
    <n v="8"/>
    <n v="2270"/>
    <n v="18160"/>
    <n v="8685"/>
    <n v="0.04"/>
    <n v="69480"/>
    <n v="51320"/>
    <n v="1"/>
  </r>
  <r>
    <s v="ORD1475"/>
    <x v="313"/>
    <s v="P004"/>
    <x v="8"/>
    <x v="3"/>
    <s v="GlowBeauty"/>
    <x v="0"/>
    <x v="1"/>
    <x v="1"/>
    <x v="2"/>
    <n v="7"/>
    <n v="11250"/>
    <n v="78750"/>
    <n v="12570"/>
    <n v="0.04"/>
    <n v="87990"/>
    <n v="9240"/>
    <n v="3"/>
  </r>
  <r>
    <s v="ORD1476"/>
    <x v="178"/>
    <s v="P015"/>
    <x v="5"/>
    <x v="4"/>
    <s v=" glowbeauty "/>
    <x v="0"/>
    <x v="0"/>
    <x v="1"/>
    <x v="3"/>
    <n v="7"/>
    <n v="2829"/>
    <n v="19803"/>
    <n v="7632"/>
    <n v="0.1"/>
    <n v="53424"/>
    <n v="33621"/>
    <s v="N/A"/>
  </r>
  <r>
    <s v="ORD1477"/>
    <x v="324"/>
    <s v="P007"/>
    <x v="10"/>
    <x v="2"/>
    <s v="SkinLab"/>
    <x v="0"/>
    <x v="1"/>
    <x v="3"/>
    <x v="0"/>
    <n v="2"/>
    <n v="4656"/>
    <n v="9312"/>
    <n v="8856"/>
    <n v="0.02"/>
    <n v="17712"/>
    <n v="8400"/>
    <n v="5"/>
  </r>
  <r>
    <s v="ORD1478"/>
    <x v="325"/>
    <s v="P010"/>
    <x v="1"/>
    <x v="1"/>
    <s v="DermaCare"/>
    <x v="0"/>
    <x v="0"/>
    <x v="3"/>
    <x v="3"/>
    <n v="5"/>
    <n v="8171"/>
    <n v="40855"/>
    <n v="10948"/>
    <n v="0.04"/>
    <n v="54740"/>
    <n v="13885"/>
    <n v="3"/>
  </r>
  <r>
    <s v="ORD1479"/>
    <x v="326"/>
    <s v="P017"/>
    <x v="6"/>
    <x v="4"/>
    <s v="SkinLab"/>
    <x v="1"/>
    <x v="1"/>
    <x v="0"/>
    <x v="0"/>
    <n v="4"/>
    <n v="1795"/>
    <n v="7180"/>
    <n v="8058"/>
    <n v="0"/>
    <n v="32232"/>
    <n v="25052"/>
    <n v="2"/>
  </r>
  <r>
    <s v="ORD1480"/>
    <x v="229"/>
    <s v="P008"/>
    <x v="2"/>
    <x v="2"/>
    <s v="N/A"/>
    <x v="0"/>
    <x v="1"/>
    <x v="3"/>
    <x v="0"/>
    <n v="5"/>
    <n v="8586"/>
    <n v="42930"/>
    <n v="9661"/>
    <n v="0.04"/>
    <n v="48305"/>
    <n v="5375"/>
    <n v="3"/>
  </r>
  <r>
    <s v="ORD1481"/>
    <x v="141"/>
    <s v="P016"/>
    <x v="16"/>
    <x v="4"/>
    <s v=" glowbeauty "/>
    <x v="0"/>
    <x v="0"/>
    <x v="1"/>
    <x v="0"/>
    <n v="2"/>
    <n v="4680"/>
    <n v="9360"/>
    <n v="12285"/>
    <n v="0.02"/>
    <n v="24570"/>
    <n v="15210"/>
    <s v="N/A"/>
  </r>
  <r>
    <s v="ORD1482"/>
    <x v="211"/>
    <s v="P007"/>
    <x v="10"/>
    <x v="2"/>
    <s v="PureSkin"/>
    <x v="1"/>
    <x v="2"/>
    <x v="1"/>
    <x v="1"/>
    <n v="5"/>
    <n v="6269"/>
    <n v="31345"/>
    <n v="12377"/>
    <n v="0.05"/>
    <n v="61885"/>
    <n v="30540"/>
    <n v="4"/>
  </r>
  <r>
    <s v="ORD1483"/>
    <x v="291"/>
    <s v="P001"/>
    <x v="3"/>
    <x v="3"/>
    <s v=" glowbeauty "/>
    <x v="1"/>
    <x v="1"/>
    <x v="0"/>
    <x v="2"/>
    <n v="3"/>
    <n v="9176"/>
    <n v="27528"/>
    <n v="12938"/>
    <n v="0"/>
    <n v="38814"/>
    <n v="11286"/>
    <n v="3"/>
  </r>
  <r>
    <s v="ORD1484"/>
    <x v="78"/>
    <s v="P009"/>
    <x v="14"/>
    <x v="1"/>
    <s v="PureSkin"/>
    <x v="1"/>
    <x v="0"/>
    <x v="1"/>
    <x v="0"/>
    <n v="1"/>
    <n v="9353"/>
    <n v="9353"/>
    <n v="15720"/>
    <n v="0.1"/>
    <n v="15720"/>
    <n v="6367"/>
    <n v="2"/>
  </r>
  <r>
    <s v="ORD1485"/>
    <x v="327"/>
    <s v="P016"/>
    <x v="16"/>
    <x v="4"/>
    <s v="SkinLab"/>
    <x v="1"/>
    <x v="1"/>
    <x v="1"/>
    <x v="0"/>
    <n v="2"/>
    <n v="6549"/>
    <n v="13098"/>
    <n v="11354"/>
    <n v="0.02"/>
    <n v="22708"/>
    <n v="9610"/>
    <s v="N/A"/>
  </r>
  <r>
    <s v="ORD1486"/>
    <x v="75"/>
    <s v="P012"/>
    <x v="0"/>
    <x v="0"/>
    <s v="PureSkin"/>
    <x v="0"/>
    <x v="2"/>
    <x v="1"/>
    <x v="2"/>
    <n v="3"/>
    <n v="7949"/>
    <n v="23847"/>
    <n v="12077"/>
    <n v="0.1"/>
    <n v="36231"/>
    <n v="12384"/>
    <n v="2"/>
  </r>
  <r>
    <s v="ORD1487"/>
    <x v="30"/>
    <s v="P012"/>
    <x v="0"/>
    <x v="0"/>
    <s v=" glowbeauty "/>
    <x v="0"/>
    <x v="0"/>
    <x v="0"/>
    <x v="3"/>
    <n v="8"/>
    <n v="10204"/>
    <n v="81632"/>
    <n v="14270"/>
    <n v="0"/>
    <n v="114160"/>
    <n v="32528"/>
    <n v="3"/>
  </r>
  <r>
    <s v="ORD1488"/>
    <x v="328"/>
    <s v="P002"/>
    <x v="3"/>
    <x v="3"/>
    <s v="SkinLab"/>
    <x v="1"/>
    <x v="2"/>
    <x v="1"/>
    <x v="1"/>
    <n v="4"/>
    <n v="11144"/>
    <n v="44576"/>
    <n v="13883"/>
    <n v="0.05"/>
    <n v="55532"/>
    <n v="10956"/>
    <n v="4"/>
  </r>
  <r>
    <s v="ORD1489"/>
    <x v="165"/>
    <s v="P003"/>
    <x v="13"/>
    <x v="3"/>
    <s v="PureSkin"/>
    <x v="0"/>
    <x v="0"/>
    <x v="1"/>
    <x v="0"/>
    <n v="5"/>
    <n v="8786"/>
    <n v="43930"/>
    <n v="12120"/>
    <n v="0"/>
    <n v="60600"/>
    <n v="16670"/>
    <n v="4"/>
  </r>
  <r>
    <s v="ORD1490"/>
    <x v="253"/>
    <s v="P016"/>
    <x v="16"/>
    <x v="4"/>
    <s v="GlowBeauty"/>
    <x v="0"/>
    <x v="2"/>
    <x v="1"/>
    <x v="3"/>
    <n v="3"/>
    <n v="7985"/>
    <n v="23955"/>
    <n v="11863"/>
    <n v="0"/>
    <n v="35589"/>
    <n v="11634"/>
    <n v="1"/>
  </r>
  <r>
    <s v="ORD1491"/>
    <x v="329"/>
    <s v="P002"/>
    <x v="3"/>
    <x v="3"/>
    <s v=" glowbeauty "/>
    <x v="1"/>
    <x v="2"/>
    <x v="3"/>
    <x v="0"/>
    <n v="7"/>
    <n v="4992"/>
    <n v="34944"/>
    <n v="12463"/>
    <n v="0.1"/>
    <n v="87241"/>
    <n v="52297"/>
    <n v="2"/>
  </r>
  <r>
    <s v="ORD1492"/>
    <x v="206"/>
    <s v="P012"/>
    <x v="0"/>
    <x v="0"/>
    <s v="PureSkin"/>
    <x v="1"/>
    <x v="0"/>
    <x v="1"/>
    <x v="2"/>
    <n v="1"/>
    <n v="14575"/>
    <n v="14575"/>
    <n v="20508"/>
    <n v="0"/>
    <n v="20508"/>
    <n v="5933"/>
    <s v="N/A"/>
  </r>
  <r>
    <s v="ORD1493"/>
    <x v="267"/>
    <s v="P015"/>
    <x v="5"/>
    <x v="4"/>
    <s v="DermaCare"/>
    <x v="0"/>
    <x v="0"/>
    <x v="2"/>
    <x v="3"/>
    <n v="1"/>
    <n v="9904"/>
    <n v="9904"/>
    <n v="11955"/>
    <n v="0.05"/>
    <n v="11955"/>
    <n v="2051"/>
    <n v="4"/>
  </r>
  <r>
    <s v="ORD1494"/>
    <x v="330"/>
    <s v="P008"/>
    <x v="2"/>
    <x v="2"/>
    <s v="DermaCare"/>
    <x v="1"/>
    <x v="2"/>
    <x v="2"/>
    <x v="2"/>
    <n v="2"/>
    <n v="9844"/>
    <n v="19688"/>
    <n v="10490"/>
    <n v="0"/>
    <n v="20980"/>
    <n v="1292"/>
    <n v="5"/>
  </r>
  <r>
    <s v="ORD1495"/>
    <x v="297"/>
    <s v="P002"/>
    <x v="3"/>
    <x v="3"/>
    <s v="PureSkin"/>
    <x v="1"/>
    <x v="0"/>
    <x v="1"/>
    <x v="0"/>
    <n v="8"/>
    <n v="13051"/>
    <n v="104408"/>
    <n v="18708"/>
    <n v="0.02"/>
    <n v="149664"/>
    <n v="45256"/>
    <s v="N/A"/>
  </r>
  <r>
    <s v="ORD1496"/>
    <x v="331"/>
    <s v="P015"/>
    <x v="5"/>
    <x v="4"/>
    <s v="SkinLab"/>
    <x v="0"/>
    <x v="0"/>
    <x v="1"/>
    <x v="2"/>
    <n v="8"/>
    <n v="1074"/>
    <n v="8592"/>
    <n v="5956"/>
    <n v="0"/>
    <n v="47648"/>
    <n v="39056"/>
    <n v="3"/>
  </r>
  <r>
    <s v="ORD1497"/>
    <x v="303"/>
    <s v="P013"/>
    <x v="15"/>
    <x v="0"/>
    <s v=" glowbeauty "/>
    <x v="0"/>
    <x v="0"/>
    <x v="3"/>
    <x v="2"/>
    <n v="8"/>
    <n v="13487"/>
    <n v="107896"/>
    <n v="15957"/>
    <n v="0.04"/>
    <n v="127656"/>
    <n v="19760"/>
    <s v="N/A"/>
  </r>
  <r>
    <s v="ORD1498"/>
    <x v="83"/>
    <s v="P012"/>
    <x v="0"/>
    <x v="0"/>
    <s v="N/A"/>
    <x v="0"/>
    <x v="0"/>
    <x v="1"/>
    <x v="0"/>
    <n v="7"/>
    <n v="3185"/>
    <n v="22295"/>
    <n v="5932"/>
    <n v="0.04"/>
    <n v="41524"/>
    <n v="19229"/>
    <n v="4"/>
  </r>
  <r>
    <s v="ORD1499"/>
    <x v="240"/>
    <s v="P008"/>
    <x v="2"/>
    <x v="2"/>
    <s v="DermaCare"/>
    <x v="0"/>
    <x v="0"/>
    <x v="1"/>
    <x v="2"/>
    <n v="3"/>
    <n v="3016"/>
    <n v="9048"/>
    <n v="7450"/>
    <n v="0"/>
    <n v="22350"/>
    <n v="13302"/>
    <n v="1"/>
  </r>
  <r>
    <s v="ORD1500"/>
    <x v="332"/>
    <s v="P016"/>
    <x v="16"/>
    <x v="4"/>
    <s v="DermaCare"/>
    <x v="1"/>
    <x v="2"/>
    <x v="1"/>
    <x v="2"/>
    <n v="6"/>
    <n v="6656"/>
    <n v="39936"/>
    <n v="7827"/>
    <n v="0.02"/>
    <n v="46962"/>
    <n v="7026"/>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D630A9-BDFC-412D-9D30-019ECD0627B5}" name="Revenue 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56:B69"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sortType="descending">
      <items count="18">
        <item x="2"/>
        <item x="5"/>
        <item x="10"/>
        <item x="14"/>
        <item x="16"/>
        <item x="9"/>
        <item x="13"/>
        <item x="1"/>
        <item x="6"/>
        <item x="11"/>
        <item x="8"/>
        <item x="7"/>
        <item x="12"/>
        <item x="15"/>
        <item x="0"/>
        <item x="4"/>
        <item x="3"/>
        <item t="default"/>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2"/>
        <item x="0"/>
        <item x="1"/>
        <item x="3"/>
        <item t="default"/>
      </items>
    </pivotField>
    <pivotField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axis="axisRow" showAll="0">
      <items count="5">
        <item sd="0" x="0"/>
        <item sd="0" x="1"/>
        <item sd="0" x="2"/>
        <item sd="0" x="3"/>
        <item t="default"/>
      </items>
    </pivotField>
  </pivotFields>
  <rowFields count="2">
    <field x="18"/>
    <field x="20"/>
  </rowFields>
  <rowItems count="13">
    <i>
      <x v="1"/>
    </i>
    <i>
      <x v="2"/>
    </i>
    <i>
      <x v="3"/>
    </i>
    <i>
      <x v="4"/>
    </i>
    <i>
      <x v="5"/>
    </i>
    <i>
      <x v="6"/>
    </i>
    <i>
      <x v="7"/>
    </i>
    <i>
      <x v="8"/>
    </i>
    <i>
      <x v="9"/>
    </i>
    <i>
      <x v="10"/>
    </i>
    <i>
      <x v="11"/>
    </i>
    <i>
      <x v="12"/>
    </i>
    <i t="grand">
      <x/>
    </i>
  </rowItems>
  <colItems count="1">
    <i/>
  </colItems>
  <dataFields count="1">
    <dataField name="Sum of Revenue" fld="15" baseField="0" baseItem="0" numFmtId="165"/>
  </dataFields>
  <chartFormats count="5">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D8C95B-8DB7-43A7-8DD6-A89508316B15}" name="Revenue by 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0:B45"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2"/>
        <item x="0"/>
        <item x="1"/>
        <item t="default"/>
      </items>
    </pivotField>
    <pivotField axis="axisRow"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5">
    <i>
      <x v="1"/>
    </i>
    <i>
      <x/>
    </i>
    <i>
      <x v="2"/>
    </i>
    <i>
      <x v="3"/>
    </i>
    <i t="grand">
      <x/>
    </i>
  </rowItems>
  <colItems count="1">
    <i/>
  </colItems>
  <dataFields count="1">
    <dataField name="Sum of Revenue" fld="15" baseField="0" baseItem="0" numFmtId="165"/>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46BAAC-BEC2-4714-96C4-343F81CC395F}" name="Profit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2:H20"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axis="axisRow" showAll="0" sortType="descending">
      <items count="18">
        <item x="2"/>
        <item x="5"/>
        <item x="10"/>
        <item x="14"/>
        <item x="16"/>
        <item x="9"/>
        <item x="13"/>
        <item x="1"/>
        <item x="6"/>
        <item x="11"/>
        <item x="8"/>
        <item x="7"/>
        <item x="12"/>
        <item x="15"/>
        <item x="0"/>
        <item x="4"/>
        <item x="3"/>
        <item t="default"/>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2"/>
        <item x="0"/>
        <item x="1"/>
        <item x="3"/>
        <item t="default"/>
      </items>
    </pivotField>
    <pivotField showAll="0">
      <items count="5">
        <item x="0"/>
        <item x="3"/>
        <item x="2"/>
        <item x="1"/>
        <item t="default"/>
      </items>
    </pivotField>
    <pivotField showAll="0"/>
    <pivotField numFmtId="165" showAll="0"/>
    <pivotField numFmtId="165" showAll="0"/>
    <pivotField numFmtId="165" showAll="0"/>
    <pivotField numFmtId="9" showAll="0"/>
    <pivotField numFmtId="165"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8">
    <i>
      <x v="16"/>
    </i>
    <i>
      <x v="7"/>
    </i>
    <i>
      <x v="12"/>
    </i>
    <i>
      <x v="1"/>
    </i>
    <i>
      <x v="11"/>
    </i>
    <i>
      <x v="15"/>
    </i>
    <i>
      <x v="9"/>
    </i>
    <i>
      <x v="6"/>
    </i>
    <i>
      <x v="8"/>
    </i>
    <i>
      <x v="5"/>
    </i>
    <i>
      <x v="14"/>
    </i>
    <i>
      <x v="10"/>
    </i>
    <i>
      <x v="2"/>
    </i>
    <i>
      <x/>
    </i>
    <i>
      <x v="3"/>
    </i>
    <i>
      <x v="13"/>
    </i>
    <i>
      <x v="4"/>
    </i>
    <i t="grand">
      <x/>
    </i>
  </rowItems>
  <colItems count="1">
    <i/>
  </colItems>
  <dataFields count="1">
    <dataField name="Sum of Profit" fld="16" baseField="0" baseItem="0" numFmtId="165"/>
  </dataFields>
  <formats count="1">
    <format dxfId="2">
      <pivotArea dataOnly="0" labelOnly="1" fieldPosition="0">
        <references count="1">
          <reference field="3" count="1">
            <x v="1"/>
          </reference>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A4A80E-FBD0-48B9-A630-30756F0B81A9}" name="Revenue by Produc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B20"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axis="axisRow" showAll="0" sortType="descending">
      <items count="18">
        <item x="2"/>
        <item x="5"/>
        <item x="10"/>
        <item x="14"/>
        <item x="16"/>
        <item x="9"/>
        <item x="13"/>
        <item x="1"/>
        <item x="6"/>
        <item x="11"/>
        <item x="8"/>
        <item x="7"/>
        <item x="12"/>
        <item x="15"/>
        <item x="0"/>
        <item x="4"/>
        <item x="3"/>
        <item t="default"/>
      </items>
      <autoSortScope>
        <pivotArea dataOnly="0" outline="0" fieldPosition="0">
          <references count="1">
            <reference field="4294967294" count="1" selected="0">
              <x v="0"/>
            </reference>
          </references>
        </pivotArea>
      </autoSortScope>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2"/>
        <item x="0"/>
        <item x="1"/>
        <item x="3"/>
        <item t="default"/>
      </items>
    </pivotField>
    <pivotField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8">
    <i>
      <x v="16"/>
    </i>
    <i>
      <x v="12"/>
    </i>
    <i>
      <x v="15"/>
    </i>
    <i>
      <x v="7"/>
    </i>
    <i>
      <x v="1"/>
    </i>
    <i>
      <x v="8"/>
    </i>
    <i>
      <x v="6"/>
    </i>
    <i>
      <x v="11"/>
    </i>
    <i>
      <x v="14"/>
    </i>
    <i>
      <x v="9"/>
    </i>
    <i>
      <x v="2"/>
    </i>
    <i>
      <x v="10"/>
    </i>
    <i>
      <x/>
    </i>
    <i>
      <x v="5"/>
    </i>
    <i>
      <x v="3"/>
    </i>
    <i>
      <x v="13"/>
    </i>
    <i>
      <x v="4"/>
    </i>
    <i t="grand">
      <x/>
    </i>
  </rowItems>
  <colItems count="1">
    <i/>
  </colItems>
  <dataFields count="1">
    <dataField name="Sum of Revenue" fld="15" baseField="0" baseItem="0" numFmtId="165"/>
  </dataFields>
  <formats count="1">
    <format dxfId="3">
      <pivotArea dataOnly="0" labelOnly="1" fieldPosition="0">
        <references count="1">
          <reference field="3" count="1">
            <x v="1"/>
          </reference>
        </references>
      </pivotArea>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537C7D-1D94-451A-AB28-07EA84DFB64F}" name="Revenue by Sales 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25:H30"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2"/>
        <item x="0"/>
        <item x="1"/>
        <item t="default"/>
      </items>
    </pivotField>
    <pivotField showAll="0">
      <items count="5">
        <item x="2"/>
        <item x="0"/>
        <item x="1"/>
        <item x="3"/>
        <item t="default"/>
      </items>
    </pivotField>
    <pivotField axis="axisRow"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5">
    <i>
      <x/>
    </i>
    <i>
      <x v="1"/>
    </i>
    <i>
      <x v="2"/>
    </i>
    <i>
      <x v="3"/>
    </i>
    <i t="grand">
      <x/>
    </i>
  </rowItems>
  <colItems count="1">
    <i/>
  </colItems>
  <dataFields count="1">
    <dataField name="Sum of Revenue" fld="15" baseField="0" baseItem="0" numFmtId="165"/>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1CB6EA0-D863-4056-A774-5D7BE4ACD0CD}" name="KPI Average of Disc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7:G68" firstHeaderRow="1" firstDataRow="1" firstDataCol="0"/>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3"/>
        <item x="1"/>
        <item x="0"/>
        <item x="2"/>
        <item t="default"/>
      </items>
    </pivotField>
    <pivotField showAll="0">
      <items count="5">
        <item x="0"/>
        <item x="3"/>
        <item x="2"/>
        <item x="1"/>
        <item t="default"/>
      </items>
    </pivotField>
    <pivotField showAll="0"/>
    <pivotField numFmtId="165" showAll="0"/>
    <pivotField numFmtId="165" showAll="0"/>
    <pivotField numFmtId="165" showAll="0"/>
    <pivotField dataField="1" numFmtId="9" showAll="0"/>
    <pivotField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Discount_Percent" fld="14"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41ED65-7491-4DEC-83AB-97D02F060B88}" name="KPI Sum of 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5:G56" firstHeaderRow="1" firstDataRow="1" firstDataCol="0"/>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2"/>
        <item x="0"/>
        <item x="1"/>
        <item t="default"/>
      </items>
    </pivotField>
    <pivotField showAll="0" sortType="descending">
      <items count="5">
        <item x="3"/>
        <item x="1"/>
        <item x="0"/>
        <item x="2"/>
        <item t="default"/>
      </items>
      <autoSortScope>
        <pivotArea dataOnly="0" outline="0" fieldPosition="0">
          <references count="1">
            <reference field="4294967294" count="1" selected="0">
              <x v="0"/>
            </reference>
          </references>
        </pivotArea>
      </autoSortScope>
    </pivotField>
    <pivotField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Revenue" fld="15" baseField="0" baseItem="0" numFmtId="165"/>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63E4E9-9181-47C4-9E1F-1050393F795C}" name="KPI Sum of Quantity Sol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63:G64" firstHeaderRow="1" firstDataRow="1" firstDataCol="0"/>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3"/>
        <item x="1"/>
        <item x="0"/>
        <item x="2"/>
        <item t="default"/>
      </items>
    </pivotField>
    <pivotField showAll="0">
      <items count="5">
        <item x="0"/>
        <item x="3"/>
        <item x="2"/>
        <item x="1"/>
        <item t="default"/>
      </items>
    </pivotField>
    <pivotField dataField="1" showAll="0"/>
    <pivotField numFmtId="165" showAll="0"/>
    <pivotField numFmtId="165" showAll="0"/>
    <pivotField numFmtId="165" showAll="0"/>
    <pivotField numFmtId="9" showAll="0"/>
    <pivotField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Quantity_Sol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B144A1-5413-4982-A9D8-82BC8A602C94}" name="Revenue by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5:B31"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items count="4">
        <item x="2"/>
        <item x="0"/>
        <item x="1"/>
        <item t="default"/>
      </items>
    </pivotField>
    <pivotField showAll="0">
      <items count="5">
        <item x="2"/>
        <item x="0"/>
        <item x="1"/>
        <item x="3"/>
        <item t="default"/>
      </items>
    </pivotField>
    <pivotField showAll="0">
      <items count="5">
        <item x="0"/>
        <item x="3"/>
        <item x="2"/>
        <item x="1"/>
        <item t="default"/>
      </items>
    </pivotField>
    <pivotField showAll="0"/>
    <pivotField numFmtId="165" showAll="0"/>
    <pivotField numFmtId="165" showAll="0"/>
    <pivotField numFmtId="165" showAll="0"/>
    <pivotField numFmtId="9" showAll="0"/>
    <pivotField dataField="1"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4"/>
    </i>
    <i>
      <x v="2"/>
    </i>
    <i>
      <x v="1"/>
    </i>
    <i>
      <x/>
    </i>
    <i>
      <x v="3"/>
    </i>
    <i t="grand">
      <x/>
    </i>
  </rowItems>
  <colItems count="1">
    <i/>
  </colItems>
  <dataFields count="1">
    <dataField name="Sum of Revenue" fld="15"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217D39-FC3A-46B6-9E08-C15B859F996A}" name="Quantity sold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40:H44" firstHeaderRow="1" firstDataRow="1" firstDataCol="1"/>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items count="6">
        <item x="2"/>
        <item x="1"/>
        <item x="4"/>
        <item x="0"/>
        <item x="3"/>
        <item t="default"/>
      </items>
    </pivotField>
    <pivotField showAll="0"/>
    <pivotField showAll="0">
      <items count="3">
        <item x="1"/>
        <item x="0"/>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5">
        <item x="0"/>
        <item x="3"/>
        <item x="2"/>
        <item x="1"/>
        <item t="default"/>
      </items>
    </pivotField>
    <pivotField dataField="1" showAll="0"/>
    <pivotField numFmtId="165" showAll="0"/>
    <pivotField numFmtId="165" showAll="0"/>
    <pivotField numFmtId="165" showAll="0"/>
    <pivotField numFmtId="9" showAll="0"/>
    <pivotField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v="1"/>
    </i>
    <i>
      <x/>
    </i>
    <i>
      <x v="2"/>
    </i>
    <i t="grand">
      <x/>
    </i>
  </rowItems>
  <colItems count="1">
    <i/>
  </colItems>
  <dataFields count="1">
    <dataField name="Sum of Quantity_Sold"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E707F9-8B85-4107-A74D-DE0C127ED422}" name="KPI Sum of 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9:G60" firstHeaderRow="1" firstDataRow="1" firstDataCol="0"/>
  <pivotFields count="21">
    <pivotField showAll="0"/>
    <pivotField numFmtId="164" showAll="0">
      <items count="334">
        <item x="252"/>
        <item x="141"/>
        <item x="147"/>
        <item x="218"/>
        <item x="166"/>
        <item x="75"/>
        <item x="195"/>
        <item x="126"/>
        <item x="23"/>
        <item x="154"/>
        <item x="20"/>
        <item x="97"/>
        <item x="17"/>
        <item x="196"/>
        <item x="79"/>
        <item x="254"/>
        <item x="272"/>
        <item x="40"/>
        <item x="298"/>
        <item x="177"/>
        <item x="300"/>
        <item x="294"/>
        <item x="181"/>
        <item x="215"/>
        <item x="146"/>
        <item x="297"/>
        <item x="257"/>
        <item x="129"/>
        <item x="148"/>
        <item x="36"/>
        <item x="317"/>
        <item x="249"/>
        <item x="312"/>
        <item x="313"/>
        <item x="77"/>
        <item x="114"/>
        <item x="263"/>
        <item x="156"/>
        <item x="112"/>
        <item x="163"/>
        <item x="191"/>
        <item x="271"/>
        <item x="175"/>
        <item x="43"/>
        <item x="234"/>
        <item x="49"/>
        <item x="106"/>
        <item x="37"/>
        <item x="320"/>
        <item x="10"/>
        <item x="152"/>
        <item x="186"/>
        <item x="197"/>
        <item x="57"/>
        <item x="302"/>
        <item x="95"/>
        <item x="149"/>
        <item x="269"/>
        <item x="42"/>
        <item x="273"/>
        <item x="318"/>
        <item x="72"/>
        <item x="202"/>
        <item x="11"/>
        <item x="86"/>
        <item x="39"/>
        <item x="220"/>
        <item x="230"/>
        <item x="185"/>
        <item x="115"/>
        <item x="4"/>
        <item x="134"/>
        <item x="232"/>
        <item x="214"/>
        <item x="329"/>
        <item x="32"/>
        <item x="316"/>
        <item x="73"/>
        <item x="45"/>
        <item x="30"/>
        <item x="66"/>
        <item x="306"/>
        <item x="108"/>
        <item x="259"/>
        <item x="328"/>
        <item x="105"/>
        <item x="98"/>
        <item x="24"/>
        <item x="107"/>
        <item x="16"/>
        <item x="127"/>
        <item x="287"/>
        <item x="70"/>
        <item x="132"/>
        <item x="248"/>
        <item x="212"/>
        <item x="1"/>
        <item x="139"/>
        <item x="247"/>
        <item x="236"/>
        <item x="260"/>
        <item x="101"/>
        <item x="58"/>
        <item x="291"/>
        <item x="308"/>
        <item x="274"/>
        <item x="277"/>
        <item x="6"/>
        <item x="171"/>
        <item x="64"/>
        <item x="124"/>
        <item x="89"/>
        <item x="168"/>
        <item x="216"/>
        <item x="138"/>
        <item x="88"/>
        <item x="233"/>
        <item x="87"/>
        <item x="62"/>
        <item x="189"/>
        <item x="222"/>
        <item x="125"/>
        <item x="54"/>
        <item x="78"/>
        <item x="94"/>
        <item x="315"/>
        <item x="228"/>
        <item x="280"/>
        <item x="135"/>
        <item x="255"/>
        <item x="285"/>
        <item x="207"/>
        <item x="2"/>
        <item x="52"/>
        <item x="133"/>
        <item x="278"/>
        <item x="193"/>
        <item x="38"/>
        <item x="161"/>
        <item x="27"/>
        <item x="25"/>
        <item x="18"/>
        <item x="81"/>
        <item x="55"/>
        <item x="50"/>
        <item x="258"/>
        <item x="100"/>
        <item x="283"/>
        <item x="323"/>
        <item x="13"/>
        <item x="170"/>
        <item x="246"/>
        <item x="144"/>
        <item x="160"/>
        <item x="327"/>
        <item x="219"/>
        <item x="331"/>
        <item x="173"/>
        <item x="221"/>
        <item x="301"/>
        <item x="65"/>
        <item x="165"/>
        <item x="158"/>
        <item x="113"/>
        <item x="217"/>
        <item x="305"/>
        <item x="256"/>
        <item x="96"/>
        <item x="102"/>
        <item x="28"/>
        <item x="209"/>
        <item x="46"/>
        <item x="179"/>
        <item x="155"/>
        <item x="120"/>
        <item x="279"/>
        <item x="84"/>
        <item x="12"/>
        <item x="267"/>
        <item x="22"/>
        <item x="231"/>
        <item x="67"/>
        <item x="292"/>
        <item x="296"/>
        <item x="140"/>
        <item x="261"/>
        <item x="310"/>
        <item x="251"/>
        <item x="324"/>
        <item x="153"/>
        <item x="26"/>
        <item x="142"/>
        <item x="243"/>
        <item x="210"/>
        <item x="91"/>
        <item x="319"/>
        <item x="82"/>
        <item x="184"/>
        <item x="35"/>
        <item x="92"/>
        <item x="29"/>
        <item x="205"/>
        <item x="151"/>
        <item x="53"/>
        <item x="76"/>
        <item x="286"/>
        <item x="194"/>
        <item x="226"/>
        <item x="225"/>
        <item x="204"/>
        <item x="309"/>
        <item x="307"/>
        <item x="178"/>
        <item x="244"/>
        <item x="199"/>
        <item x="290"/>
        <item x="31"/>
        <item x="8"/>
        <item x="238"/>
        <item x="123"/>
        <item x="93"/>
        <item x="264"/>
        <item x="253"/>
        <item x="61"/>
        <item x="41"/>
        <item x="288"/>
        <item x="227"/>
        <item x="159"/>
        <item x="3"/>
        <item x="289"/>
        <item x="322"/>
        <item x="5"/>
        <item x="136"/>
        <item x="0"/>
        <item x="235"/>
        <item x="311"/>
        <item x="167"/>
        <item x="157"/>
        <item x="240"/>
        <item x="295"/>
        <item x="276"/>
        <item x="169"/>
        <item x="19"/>
        <item x="224"/>
        <item x="180"/>
        <item x="211"/>
        <item x="206"/>
        <item x="314"/>
        <item x="48"/>
        <item x="111"/>
        <item x="281"/>
        <item x="130"/>
        <item x="71"/>
        <item x="137"/>
        <item x="208"/>
        <item x="117"/>
        <item x="118"/>
        <item x="172"/>
        <item x="15"/>
        <item x="262"/>
        <item x="128"/>
        <item x="59"/>
        <item x="325"/>
        <item x="266"/>
        <item x="34"/>
        <item x="7"/>
        <item x="68"/>
        <item x="131"/>
        <item x="293"/>
        <item x="14"/>
        <item x="245"/>
        <item x="110"/>
        <item x="237"/>
        <item x="176"/>
        <item x="9"/>
        <item x="122"/>
        <item x="143"/>
        <item x="74"/>
        <item x="103"/>
        <item x="51"/>
        <item x="299"/>
        <item x="332"/>
        <item x="282"/>
        <item x="284"/>
        <item x="304"/>
        <item x="213"/>
        <item x="119"/>
        <item x="83"/>
        <item x="56"/>
        <item x="104"/>
        <item x="69"/>
        <item x="303"/>
        <item x="182"/>
        <item x="330"/>
        <item x="121"/>
        <item x="99"/>
        <item x="109"/>
        <item x="21"/>
        <item x="162"/>
        <item x="239"/>
        <item x="145"/>
        <item x="242"/>
        <item x="203"/>
        <item x="63"/>
        <item x="150"/>
        <item x="275"/>
        <item x="174"/>
        <item x="85"/>
        <item x="80"/>
        <item x="116"/>
        <item x="229"/>
        <item x="223"/>
        <item x="33"/>
        <item x="201"/>
        <item x="60"/>
        <item x="44"/>
        <item x="188"/>
        <item x="265"/>
        <item x="250"/>
        <item x="241"/>
        <item x="198"/>
        <item x="190"/>
        <item x="90"/>
        <item x="164"/>
        <item x="200"/>
        <item x="187"/>
        <item x="192"/>
        <item x="268"/>
        <item x="47"/>
        <item x="321"/>
        <item x="326"/>
        <item x="270"/>
        <item x="183"/>
        <item t="default"/>
      </items>
    </pivotField>
    <pivotField showAll="0"/>
    <pivotField showAll="0">
      <items count="18">
        <item x="2"/>
        <item x="5"/>
        <item x="10"/>
        <item x="14"/>
        <item x="16"/>
        <item x="9"/>
        <item x="13"/>
        <item x="1"/>
        <item x="6"/>
        <item x="11"/>
        <item x="8"/>
        <item x="7"/>
        <item x="12"/>
        <item x="15"/>
        <item x="0"/>
        <item x="4"/>
        <item x="3"/>
        <item t="default"/>
      </items>
    </pivotField>
    <pivotField showAll="0">
      <items count="6">
        <item x="2"/>
        <item x="1"/>
        <item x="4"/>
        <item x="0"/>
        <item x="3"/>
        <item t="default"/>
      </items>
    </pivotField>
    <pivotField showAll="0"/>
    <pivotField showAll="0">
      <items count="3">
        <item x="1"/>
        <item x="0"/>
        <item t="default"/>
      </items>
    </pivotField>
    <pivotField showAll="0">
      <items count="4">
        <item x="2"/>
        <item x="0"/>
        <item x="1"/>
        <item t="default"/>
      </items>
    </pivotField>
    <pivotField showAll="0">
      <items count="5">
        <item x="3"/>
        <item x="1"/>
        <item x="0"/>
        <item x="2"/>
        <item t="default"/>
      </items>
    </pivotField>
    <pivotField showAll="0">
      <items count="5">
        <item x="0"/>
        <item x="3"/>
        <item x="2"/>
        <item x="1"/>
        <item t="default"/>
      </items>
    </pivotField>
    <pivotField showAll="0"/>
    <pivotField numFmtId="165" showAll="0"/>
    <pivotField numFmtId="165" showAll="0"/>
    <pivotField numFmtId="165" showAll="0"/>
    <pivotField numFmtId="9" showAll="0"/>
    <pivotField numFmtId="165" showAll="0"/>
    <pivotField dataField="1"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D2C049-F9CB-414E-811D-A396EC742718}" sourceName="Category">
  <pivotTables>
    <pivotTable tabId="5" name="Profit by Product"/>
    <pivotTable tabId="5" name="KPI Average of Discount %"/>
    <pivotTable tabId="5" name="KPI Sum of Profit"/>
    <pivotTable tabId="5" name="KPI Sum of Quantity Sold"/>
    <pivotTable tabId="5" name="KPI Sum of Revenue"/>
    <pivotTable tabId="5" name="Quantity sold by Age Group"/>
    <pivotTable tabId="5" name="Revenue by Category"/>
    <pivotTable tabId="5" name="Revenue by Country"/>
    <pivotTable tabId="5" name="Revenue by Product"/>
    <pivotTable tabId="5" name="Revenue by Sales Channel"/>
    <pivotTable tabId="5" name="Revenue overtime"/>
  </pivotTables>
  <data>
    <tabular pivotCacheId="1706705140">
      <items count="5">
        <i x="2" s="1"/>
        <i x="1" s="1"/>
        <i x="4"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AFE7E99-6BBF-4868-9692-6A54D668C7F3}" sourceName="Gender">
  <pivotTables>
    <pivotTable tabId="5" name="Profit by Product"/>
    <pivotTable tabId="5" name="KPI Average of Discount %"/>
    <pivotTable tabId="5" name="KPI Sum of Profit"/>
    <pivotTable tabId="5" name="KPI Sum of Quantity Sold"/>
    <pivotTable tabId="5" name="KPI Sum of Revenue"/>
    <pivotTable tabId="5" name="Quantity sold by Age Group"/>
    <pivotTable tabId="5" name="Revenue by Category"/>
    <pivotTable tabId="5" name="Revenue by Country"/>
    <pivotTable tabId="5" name="Revenue by Product"/>
    <pivotTable tabId="5" name="Revenue by Sales Channel"/>
    <pivotTable tabId="5" name="Revenue overtime"/>
  </pivotTables>
  <data>
    <tabular pivotCacheId="1706705140">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89EA80A3-A375-4486-8DFF-56173582B622}" sourceName="Age_Group">
  <pivotTables>
    <pivotTable tabId="5" name="Profit by Product"/>
    <pivotTable tabId="5" name="KPI Average of Discount %"/>
    <pivotTable tabId="5" name="KPI Sum of Profit"/>
    <pivotTable tabId="5" name="KPI Sum of Quantity Sold"/>
    <pivotTable tabId="5" name="KPI Sum of Revenue"/>
    <pivotTable tabId="5" name="Quantity sold by Age Group"/>
    <pivotTable tabId="5" name="Revenue by Category"/>
    <pivotTable tabId="5" name="Revenue by Country"/>
    <pivotTable tabId="5" name="Revenue by Product"/>
    <pivotTable tabId="5" name="Revenue by Sales Channel"/>
    <pivotTable tabId="5" name="Revenue overtime"/>
  </pivotTables>
  <data>
    <tabular pivotCacheId="1706705140">
      <items count="3">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3100607-0F26-481E-AAFB-080DF5E0055E}" sourceName="Country">
  <pivotTables>
    <pivotTable tabId="5" name="Profit by Product"/>
    <pivotTable tabId="5" name="KPI Average of Discount %"/>
    <pivotTable tabId="5" name="KPI Sum of Profit"/>
    <pivotTable tabId="5" name="KPI Sum of Quantity Sold"/>
    <pivotTable tabId="5" name="KPI Sum of Revenue"/>
    <pivotTable tabId="5" name="Quantity sold by Age Group"/>
    <pivotTable tabId="5" name="Revenue by Category"/>
    <pivotTable tabId="5" name="Revenue by Country"/>
    <pivotTable tabId="5" name="Revenue by Product"/>
    <pivotTable tabId="5" name="Revenue by Sales Channel"/>
    <pivotTable tabId="5" name="Revenue overtime"/>
  </pivotTables>
  <data>
    <tabular pivotCacheId="1706705140">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C5257F10-099C-4DD4-9ACC-C43C87E93A0E}" sourceName="Sales_Channel">
  <pivotTables>
    <pivotTable tabId="5" name="Profit by Product"/>
    <pivotTable tabId="5" name="KPI Average of Discount %"/>
    <pivotTable tabId="5" name="KPI Sum of Profit"/>
    <pivotTable tabId="5" name="KPI Sum of Quantity Sold"/>
    <pivotTable tabId="5" name="KPI Sum of Revenue"/>
    <pivotTable tabId="5" name="Quantity sold by Age Group"/>
    <pivotTable tabId="5" name="Revenue by Category"/>
    <pivotTable tabId="5" name="Revenue by Country"/>
    <pivotTable tabId="5" name="Revenue by Product"/>
    <pivotTable tabId="5" name="Revenue by Sales Channel"/>
    <pivotTable tabId="5" name="Revenue overtime"/>
  </pivotTables>
  <data>
    <tabular pivotCacheId="1706705140">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3BC636-19F5-436F-884B-9514ED92AEF5}" cache="Slicer_Category" caption="Category" rowHeight="241300"/>
  <slicer name="Gender" xr10:uid="{C98A87D6-33D6-4792-9335-9B99588F4D45}" cache="Slicer_Gender" caption="Gender" rowHeight="241300"/>
  <slicer name="Age_Group" xr10:uid="{7B281D03-2C9C-4DB3-B935-87406027EC13}" cache="Slicer_Age_Group" caption="Age_Group" rowHeight="241300"/>
  <slicer name="Country" xr10:uid="{860EF7EC-3204-4F9D-B875-B7EB722C282B}" cache="Slicer_Country" caption="Country" rowHeight="241300"/>
  <slicer name="Sales_Channel" xr10:uid="{CB9B7FCF-7A54-4669-8FD3-B61E67EF6062}" cache="Slicer_Sales_Channel" caption="Sales_Channel"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77240B-4124-4848-99DB-7C6A87666CE3}" name="Table1" displayName="Table1" ref="A1:R501" totalsRowShown="0">
  <autoFilter ref="A1:R501" xr:uid="{0B77240B-4124-4848-99DB-7C6A87666CE3}"/>
  <tableColumns count="18">
    <tableColumn id="1" xr3:uid="{297B4531-416A-4F39-91EF-BDDADEBDD4C7}" name="Order_ID"/>
    <tableColumn id="2" xr3:uid="{7D4CB849-FC18-44D2-B055-8A96DCB856D0}" name="Order_Date" dataDxfId="10"/>
    <tableColumn id="3" xr3:uid="{7B135B9D-2609-4DE6-8783-87F0631828D5}" name="Product_ID"/>
    <tableColumn id="4" xr3:uid="{7377C9C6-CD62-4FF7-80FF-243B30CBB951}" name="Product_Name"/>
    <tableColumn id="5" xr3:uid="{1E810062-DD3D-49D2-AF15-73D28E8FA95F}" name="Category"/>
    <tableColumn id="6" xr3:uid="{6900912F-4CD3-43E2-A29A-A9A8EDFA3C90}" name="Brand"/>
    <tableColumn id="8" xr3:uid="{342C10DD-60AC-49D7-9A03-DC1493CDAB1F}" name="Gender"/>
    <tableColumn id="9" xr3:uid="{D6C84E50-B067-4C2B-8136-B674F7FBF81D}" name="Age_Group"/>
    <tableColumn id="10" xr3:uid="{43CCA2F0-6327-41EF-B964-1F6D721DF90A}" name="Country"/>
    <tableColumn id="11" xr3:uid="{A08F32A8-56A3-44F9-BE6F-66ABDC97E82B}" name="Sales_Channel"/>
    <tableColumn id="12" xr3:uid="{DA24A466-E296-4246-9B7B-605DEC8E432B}" name="Quantity_Sold"/>
    <tableColumn id="13" xr3:uid="{A5D36712-DD17-45A1-8C29-E203340F31BC}" name="Cost_Price" dataDxfId="9"/>
    <tableColumn id="23" xr3:uid="{21A3B3AF-C311-4E72-AFBB-F35B0C842D59}" name="Total_Cost_Price" dataDxfId="8">
      <calculatedColumnFormula>Table1[[#This Row],[Cost_Price]]*Table1[[#This Row],[Quantity_Sold]]</calculatedColumnFormula>
    </tableColumn>
    <tableColumn id="14" xr3:uid="{924049E4-9690-4821-B1B5-765FAFE14B57}" name="Selling_Price" dataDxfId="7"/>
    <tableColumn id="15" xr3:uid="{6F58C8A3-7FB7-40B5-A3D7-1DE145D87EDD}" name="Discount_Percent" dataDxfId="6"/>
    <tableColumn id="16" xr3:uid="{704AA193-87B9-463A-98E5-BB0868678179}" name="Revenue" dataDxfId="5"/>
    <tableColumn id="17" xr3:uid="{A87536BD-3A22-4880-8441-C083C5F36BA4}" name="Profit" dataDxfId="4"/>
    <tableColumn id="18" xr3:uid="{E49750CF-941B-49FF-ACA2-E519D2CC23E4}" name="Rating"/>
  </tableColumns>
  <tableStyleInfo name="TableStyleMedium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1"/>
  <sheetViews>
    <sheetView workbookViewId="0"/>
  </sheetViews>
  <sheetFormatPr defaultRowHeight="1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25</v>
      </c>
      <c r="I2" t="s">
        <v>26</v>
      </c>
      <c r="J2" t="s">
        <v>27</v>
      </c>
      <c r="K2" t="s">
        <v>28</v>
      </c>
      <c r="L2">
        <v>2</v>
      </c>
      <c r="M2">
        <v>10089</v>
      </c>
      <c r="N2">
        <v>12140</v>
      </c>
      <c r="O2">
        <v>0.02</v>
      </c>
      <c r="P2">
        <v>24280</v>
      </c>
      <c r="Q2">
        <v>4102</v>
      </c>
      <c r="R2">
        <v>2</v>
      </c>
    </row>
    <row r="3" spans="1:18" x14ac:dyDescent="0.25">
      <c r="A3" t="s">
        <v>29</v>
      </c>
      <c r="B3" t="s">
        <v>30</v>
      </c>
      <c r="C3" t="s">
        <v>31</v>
      </c>
      <c r="D3" t="s">
        <v>32</v>
      </c>
      <c r="E3" t="s">
        <v>33</v>
      </c>
      <c r="G3" t="s">
        <v>34</v>
      </c>
      <c r="H3" t="s">
        <v>25</v>
      </c>
      <c r="I3" t="s">
        <v>35</v>
      </c>
      <c r="J3" t="s">
        <v>27</v>
      </c>
      <c r="K3" t="s">
        <v>36</v>
      </c>
      <c r="L3">
        <v>4</v>
      </c>
      <c r="M3">
        <v>13311</v>
      </c>
      <c r="N3">
        <v>17701</v>
      </c>
      <c r="O3">
        <v>0.04</v>
      </c>
      <c r="P3">
        <v>70804</v>
      </c>
      <c r="Q3">
        <v>17560</v>
      </c>
      <c r="R3">
        <v>3</v>
      </c>
    </row>
    <row r="4" spans="1:18" x14ac:dyDescent="0.25">
      <c r="A4" t="s">
        <v>37</v>
      </c>
      <c r="B4" t="s">
        <v>38</v>
      </c>
      <c r="C4" t="s">
        <v>39</v>
      </c>
      <c r="D4" t="s">
        <v>40</v>
      </c>
      <c r="E4" t="s">
        <v>41</v>
      </c>
      <c r="F4" t="s">
        <v>42</v>
      </c>
      <c r="G4" t="s">
        <v>43</v>
      </c>
      <c r="H4" t="s">
        <v>44</v>
      </c>
      <c r="I4" t="s">
        <v>45</v>
      </c>
      <c r="J4" t="s">
        <v>46</v>
      </c>
      <c r="K4" t="s">
        <v>28</v>
      </c>
      <c r="L4">
        <v>7</v>
      </c>
      <c r="M4">
        <v>3840</v>
      </c>
      <c r="N4">
        <v>9112</v>
      </c>
      <c r="O4">
        <v>0.1</v>
      </c>
      <c r="P4">
        <v>63784</v>
      </c>
      <c r="Q4">
        <v>36904</v>
      </c>
      <c r="R4">
        <v>4</v>
      </c>
    </row>
    <row r="5" spans="1:18" x14ac:dyDescent="0.25">
      <c r="A5" t="s">
        <v>47</v>
      </c>
      <c r="B5" t="s">
        <v>48</v>
      </c>
      <c r="C5" t="s">
        <v>49</v>
      </c>
      <c r="D5" t="s">
        <v>50</v>
      </c>
      <c r="E5" t="s">
        <v>51</v>
      </c>
      <c r="F5" t="s">
        <v>23</v>
      </c>
      <c r="G5" t="s">
        <v>52</v>
      </c>
      <c r="H5" t="s">
        <v>44</v>
      </c>
      <c r="I5" t="s">
        <v>26</v>
      </c>
      <c r="J5" t="s">
        <v>53</v>
      </c>
      <c r="K5" t="s">
        <v>54</v>
      </c>
      <c r="L5">
        <v>7</v>
      </c>
      <c r="M5">
        <v>8462</v>
      </c>
      <c r="N5">
        <v>11456</v>
      </c>
      <c r="O5">
        <v>0</v>
      </c>
      <c r="P5">
        <v>80192</v>
      </c>
      <c r="Q5">
        <v>20958</v>
      </c>
      <c r="R5">
        <v>4</v>
      </c>
    </row>
    <row r="6" spans="1:18" x14ac:dyDescent="0.25">
      <c r="A6" t="s">
        <v>55</v>
      </c>
      <c r="B6" t="s">
        <v>56</v>
      </c>
      <c r="C6" t="s">
        <v>20</v>
      </c>
      <c r="D6" t="s">
        <v>21</v>
      </c>
      <c r="E6" t="s">
        <v>22</v>
      </c>
      <c r="F6" t="s">
        <v>23</v>
      </c>
      <c r="G6" t="s">
        <v>57</v>
      </c>
      <c r="H6" t="s">
        <v>25</v>
      </c>
      <c r="I6" t="s">
        <v>35</v>
      </c>
      <c r="J6" t="s">
        <v>58</v>
      </c>
      <c r="K6" t="s">
        <v>59</v>
      </c>
      <c r="L6">
        <v>2</v>
      </c>
      <c r="M6">
        <v>14499</v>
      </c>
      <c r="N6">
        <v>15533</v>
      </c>
      <c r="O6">
        <v>0.04</v>
      </c>
      <c r="P6">
        <v>31066</v>
      </c>
      <c r="Q6">
        <v>2068</v>
      </c>
      <c r="R6">
        <v>4</v>
      </c>
    </row>
    <row r="7" spans="1:18" x14ac:dyDescent="0.25">
      <c r="A7" t="s">
        <v>60</v>
      </c>
      <c r="B7" t="s">
        <v>61</v>
      </c>
      <c r="C7" t="s">
        <v>62</v>
      </c>
      <c r="D7" t="s">
        <v>63</v>
      </c>
      <c r="E7" t="s">
        <v>64</v>
      </c>
      <c r="F7" t="s">
        <v>23</v>
      </c>
      <c r="G7" t="s">
        <v>65</v>
      </c>
      <c r="H7" t="s">
        <v>25</v>
      </c>
      <c r="I7" t="s">
        <v>35</v>
      </c>
      <c r="J7" t="s">
        <v>53</v>
      </c>
      <c r="K7" t="s">
        <v>28</v>
      </c>
      <c r="L7">
        <v>8</v>
      </c>
      <c r="M7">
        <v>6459</v>
      </c>
      <c r="N7">
        <v>11182</v>
      </c>
      <c r="O7">
        <v>0.04</v>
      </c>
      <c r="P7">
        <v>89456</v>
      </c>
      <c r="Q7">
        <v>37784</v>
      </c>
      <c r="R7">
        <v>4</v>
      </c>
    </row>
    <row r="8" spans="1:18" x14ac:dyDescent="0.25">
      <c r="A8" t="s">
        <v>66</v>
      </c>
      <c r="B8" t="s">
        <v>67</v>
      </c>
      <c r="C8" t="s">
        <v>20</v>
      </c>
      <c r="D8" t="s">
        <v>21</v>
      </c>
      <c r="E8" t="s">
        <v>22</v>
      </c>
      <c r="F8" t="s">
        <v>42</v>
      </c>
      <c r="G8" t="s">
        <v>68</v>
      </c>
      <c r="H8" t="s">
        <v>25</v>
      </c>
      <c r="I8" t="s">
        <v>26</v>
      </c>
      <c r="J8" t="s">
        <v>58</v>
      </c>
      <c r="K8" t="s">
        <v>59</v>
      </c>
      <c r="L8">
        <v>2</v>
      </c>
      <c r="M8">
        <v>7078</v>
      </c>
      <c r="N8">
        <v>11343</v>
      </c>
      <c r="O8">
        <v>0.04</v>
      </c>
      <c r="P8">
        <v>22686</v>
      </c>
      <c r="Q8">
        <v>8530</v>
      </c>
    </row>
    <row r="9" spans="1:18" x14ac:dyDescent="0.25">
      <c r="A9" t="s">
        <v>69</v>
      </c>
      <c r="B9" t="s">
        <v>70</v>
      </c>
      <c r="C9" t="s">
        <v>71</v>
      </c>
      <c r="D9" t="s">
        <v>72</v>
      </c>
      <c r="E9" t="s">
        <v>64</v>
      </c>
      <c r="F9" t="s">
        <v>73</v>
      </c>
      <c r="G9" t="s">
        <v>74</v>
      </c>
      <c r="H9" t="s">
        <v>44</v>
      </c>
      <c r="I9" t="s">
        <v>45</v>
      </c>
      <c r="J9" t="s">
        <v>75</v>
      </c>
      <c r="K9" t="s">
        <v>54</v>
      </c>
      <c r="L9">
        <v>3</v>
      </c>
      <c r="M9">
        <v>14972</v>
      </c>
      <c r="N9">
        <v>19467</v>
      </c>
      <c r="O9">
        <v>0.04</v>
      </c>
      <c r="P9">
        <v>58401</v>
      </c>
      <c r="Q9">
        <v>13485</v>
      </c>
      <c r="R9">
        <v>5</v>
      </c>
    </row>
    <row r="10" spans="1:18" x14ac:dyDescent="0.25">
      <c r="A10" t="s">
        <v>76</v>
      </c>
      <c r="B10" t="s">
        <v>48</v>
      </c>
      <c r="C10" t="s">
        <v>77</v>
      </c>
      <c r="D10" t="s">
        <v>78</v>
      </c>
      <c r="E10" t="s">
        <v>64</v>
      </c>
      <c r="F10" t="s">
        <v>23</v>
      </c>
      <c r="G10" t="s">
        <v>79</v>
      </c>
      <c r="H10" t="s">
        <v>44</v>
      </c>
      <c r="I10" t="s">
        <v>45</v>
      </c>
      <c r="J10" t="s">
        <v>75</v>
      </c>
      <c r="K10" t="s">
        <v>28</v>
      </c>
      <c r="L10">
        <v>4</v>
      </c>
      <c r="M10">
        <v>6626</v>
      </c>
      <c r="N10">
        <v>14222</v>
      </c>
      <c r="O10">
        <v>0.02</v>
      </c>
      <c r="P10">
        <v>56888</v>
      </c>
      <c r="Q10">
        <v>30384</v>
      </c>
      <c r="R10">
        <v>2</v>
      </c>
    </row>
    <row r="11" spans="1:18" x14ac:dyDescent="0.25">
      <c r="A11" t="s">
        <v>80</v>
      </c>
      <c r="B11" t="s">
        <v>81</v>
      </c>
      <c r="C11" t="s">
        <v>82</v>
      </c>
      <c r="D11" t="s">
        <v>83</v>
      </c>
      <c r="E11" t="s">
        <v>51</v>
      </c>
      <c r="F11" t="s">
        <v>23</v>
      </c>
      <c r="G11" t="s">
        <v>84</v>
      </c>
      <c r="H11" t="s">
        <v>44</v>
      </c>
      <c r="I11" t="s">
        <v>45</v>
      </c>
      <c r="J11" t="s">
        <v>46</v>
      </c>
      <c r="K11" t="s">
        <v>36</v>
      </c>
      <c r="L11">
        <v>2</v>
      </c>
      <c r="M11">
        <v>8180</v>
      </c>
      <c r="N11">
        <v>13636</v>
      </c>
      <c r="O11">
        <v>0.1</v>
      </c>
      <c r="P11">
        <v>27272</v>
      </c>
      <c r="Q11">
        <v>10912</v>
      </c>
      <c r="R11">
        <v>2</v>
      </c>
    </row>
    <row r="12" spans="1:18" x14ac:dyDescent="0.25">
      <c r="A12" t="s">
        <v>85</v>
      </c>
      <c r="B12" t="s">
        <v>86</v>
      </c>
      <c r="C12" t="s">
        <v>87</v>
      </c>
      <c r="D12" t="s">
        <v>88</v>
      </c>
      <c r="E12" t="s">
        <v>33</v>
      </c>
      <c r="F12" t="s">
        <v>42</v>
      </c>
      <c r="G12" t="s">
        <v>89</v>
      </c>
      <c r="H12" t="s">
        <v>25</v>
      </c>
      <c r="I12" t="s">
        <v>35</v>
      </c>
      <c r="J12" t="s">
        <v>46</v>
      </c>
      <c r="K12" t="s">
        <v>36</v>
      </c>
      <c r="L12">
        <v>8</v>
      </c>
      <c r="M12">
        <v>5153</v>
      </c>
      <c r="N12">
        <v>10367</v>
      </c>
      <c r="O12">
        <v>0.1</v>
      </c>
      <c r="P12">
        <v>82936</v>
      </c>
      <c r="Q12">
        <v>41712</v>
      </c>
      <c r="R12">
        <v>4</v>
      </c>
    </row>
    <row r="13" spans="1:18" x14ac:dyDescent="0.25">
      <c r="A13" t="s">
        <v>90</v>
      </c>
      <c r="B13" t="s">
        <v>91</v>
      </c>
      <c r="C13" t="s">
        <v>20</v>
      </c>
      <c r="D13" t="s">
        <v>21</v>
      </c>
      <c r="E13" t="s">
        <v>22</v>
      </c>
      <c r="F13" t="s">
        <v>92</v>
      </c>
      <c r="G13" t="s">
        <v>93</v>
      </c>
      <c r="H13" t="s">
        <v>25</v>
      </c>
      <c r="I13" t="s">
        <v>45</v>
      </c>
      <c r="J13" t="s">
        <v>58</v>
      </c>
      <c r="K13" t="s">
        <v>54</v>
      </c>
      <c r="L13">
        <v>4</v>
      </c>
      <c r="M13">
        <v>8734</v>
      </c>
      <c r="N13">
        <v>11969</v>
      </c>
      <c r="O13">
        <v>0.02</v>
      </c>
      <c r="P13">
        <v>47876</v>
      </c>
      <c r="Q13">
        <v>12940</v>
      </c>
      <c r="R13">
        <v>3</v>
      </c>
    </row>
    <row r="14" spans="1:18" x14ac:dyDescent="0.25">
      <c r="A14" t="s">
        <v>94</v>
      </c>
      <c r="B14" t="s">
        <v>95</v>
      </c>
      <c r="C14" t="s">
        <v>96</v>
      </c>
      <c r="D14" t="s">
        <v>97</v>
      </c>
      <c r="E14" t="s">
        <v>51</v>
      </c>
      <c r="F14" t="s">
        <v>98</v>
      </c>
      <c r="G14" t="s">
        <v>99</v>
      </c>
      <c r="H14" t="s">
        <v>44</v>
      </c>
      <c r="I14" t="s">
        <v>26</v>
      </c>
      <c r="J14" t="s">
        <v>75</v>
      </c>
      <c r="K14" t="s">
        <v>59</v>
      </c>
      <c r="L14">
        <v>7</v>
      </c>
      <c r="M14">
        <v>12972</v>
      </c>
      <c r="N14">
        <v>19485</v>
      </c>
      <c r="O14">
        <v>0.1</v>
      </c>
      <c r="P14">
        <v>136395</v>
      </c>
      <c r="Q14">
        <v>45591</v>
      </c>
      <c r="R14">
        <v>5</v>
      </c>
    </row>
    <row r="15" spans="1:18" x14ac:dyDescent="0.25">
      <c r="A15" t="s">
        <v>100</v>
      </c>
      <c r="B15" t="s">
        <v>101</v>
      </c>
      <c r="C15" t="s">
        <v>31</v>
      </c>
      <c r="D15" t="s">
        <v>32</v>
      </c>
      <c r="E15" t="s">
        <v>33</v>
      </c>
      <c r="F15" t="s">
        <v>42</v>
      </c>
      <c r="G15" t="s">
        <v>102</v>
      </c>
      <c r="H15" t="s">
        <v>44</v>
      </c>
      <c r="I15" t="s">
        <v>26</v>
      </c>
      <c r="J15" t="s">
        <v>103</v>
      </c>
      <c r="K15" t="s">
        <v>59</v>
      </c>
      <c r="L15">
        <v>5</v>
      </c>
      <c r="M15">
        <v>13456</v>
      </c>
      <c r="N15">
        <v>15503</v>
      </c>
      <c r="O15">
        <v>0.1</v>
      </c>
      <c r="P15">
        <v>77515</v>
      </c>
      <c r="Q15">
        <v>10235</v>
      </c>
      <c r="R15">
        <v>5</v>
      </c>
    </row>
    <row r="16" spans="1:18" x14ac:dyDescent="0.25">
      <c r="A16" t="s">
        <v>104</v>
      </c>
      <c r="B16" t="s">
        <v>105</v>
      </c>
      <c r="C16" t="s">
        <v>106</v>
      </c>
      <c r="D16" t="s">
        <v>107</v>
      </c>
      <c r="E16" t="s">
        <v>41</v>
      </c>
      <c r="F16" t="s">
        <v>92</v>
      </c>
      <c r="G16" t="s">
        <v>108</v>
      </c>
      <c r="H16" t="s">
        <v>25</v>
      </c>
      <c r="I16" t="s">
        <v>45</v>
      </c>
      <c r="J16" t="s">
        <v>103</v>
      </c>
      <c r="K16" t="s">
        <v>28</v>
      </c>
      <c r="L16">
        <v>1</v>
      </c>
      <c r="M16">
        <v>11846</v>
      </c>
      <c r="N16">
        <v>18129</v>
      </c>
      <c r="O16">
        <v>0.04</v>
      </c>
      <c r="P16">
        <v>18129</v>
      </c>
      <c r="Q16">
        <v>6283</v>
      </c>
      <c r="R16">
        <v>3</v>
      </c>
    </row>
    <row r="17" spans="1:18" x14ac:dyDescent="0.25">
      <c r="A17" t="s">
        <v>109</v>
      </c>
      <c r="B17" t="s">
        <v>110</v>
      </c>
      <c r="C17" t="s">
        <v>62</v>
      </c>
      <c r="D17" t="s">
        <v>63</v>
      </c>
      <c r="E17" t="s">
        <v>64</v>
      </c>
      <c r="G17" t="s">
        <v>111</v>
      </c>
      <c r="H17" t="s">
        <v>25</v>
      </c>
      <c r="I17" t="s">
        <v>35</v>
      </c>
      <c r="J17" t="s">
        <v>27</v>
      </c>
      <c r="K17" t="s">
        <v>54</v>
      </c>
      <c r="L17">
        <v>4</v>
      </c>
      <c r="M17">
        <v>8422</v>
      </c>
      <c r="N17">
        <v>9879</v>
      </c>
      <c r="O17">
        <v>0.02</v>
      </c>
      <c r="P17">
        <v>39516</v>
      </c>
      <c r="Q17">
        <v>5828</v>
      </c>
      <c r="R17">
        <v>5</v>
      </c>
    </row>
    <row r="18" spans="1:18" x14ac:dyDescent="0.25">
      <c r="A18" t="s">
        <v>112</v>
      </c>
      <c r="B18" t="s">
        <v>113</v>
      </c>
      <c r="C18" t="s">
        <v>62</v>
      </c>
      <c r="D18" t="s">
        <v>63</v>
      </c>
      <c r="E18" t="s">
        <v>64</v>
      </c>
      <c r="F18" t="s">
        <v>23</v>
      </c>
      <c r="G18" t="s">
        <v>114</v>
      </c>
      <c r="H18" t="s">
        <v>44</v>
      </c>
      <c r="I18" t="s">
        <v>26</v>
      </c>
      <c r="J18" t="s">
        <v>58</v>
      </c>
      <c r="K18" t="s">
        <v>54</v>
      </c>
      <c r="L18">
        <v>2</v>
      </c>
      <c r="M18">
        <v>6301</v>
      </c>
      <c r="N18">
        <v>11672</v>
      </c>
      <c r="O18">
        <v>0.05</v>
      </c>
      <c r="P18">
        <v>23344</v>
      </c>
      <c r="Q18">
        <v>10742</v>
      </c>
      <c r="R18">
        <v>5</v>
      </c>
    </row>
    <row r="19" spans="1:18" x14ac:dyDescent="0.25">
      <c r="A19" t="s">
        <v>115</v>
      </c>
      <c r="B19" t="s">
        <v>116</v>
      </c>
      <c r="C19" t="s">
        <v>117</v>
      </c>
      <c r="D19" t="s">
        <v>118</v>
      </c>
      <c r="E19" t="s">
        <v>41</v>
      </c>
      <c r="F19" t="s">
        <v>23</v>
      </c>
      <c r="G19" t="s">
        <v>119</v>
      </c>
      <c r="H19" t="s">
        <v>44</v>
      </c>
      <c r="I19" t="s">
        <v>35</v>
      </c>
      <c r="J19" t="s">
        <v>120</v>
      </c>
      <c r="K19" t="s">
        <v>36</v>
      </c>
      <c r="L19">
        <v>3</v>
      </c>
      <c r="M19">
        <v>2328</v>
      </c>
      <c r="N19">
        <v>8312</v>
      </c>
      <c r="O19">
        <v>0.04</v>
      </c>
      <c r="P19">
        <v>24936</v>
      </c>
      <c r="Q19">
        <v>17952</v>
      </c>
      <c r="R19">
        <v>2</v>
      </c>
    </row>
    <row r="20" spans="1:18" x14ac:dyDescent="0.25">
      <c r="A20" t="s">
        <v>94</v>
      </c>
      <c r="B20" t="s">
        <v>121</v>
      </c>
      <c r="C20" t="s">
        <v>117</v>
      </c>
      <c r="D20" t="s">
        <v>118</v>
      </c>
      <c r="E20" t="s">
        <v>41</v>
      </c>
      <c r="F20" t="s">
        <v>98</v>
      </c>
      <c r="G20" t="s">
        <v>122</v>
      </c>
      <c r="H20" t="s">
        <v>44</v>
      </c>
      <c r="I20" t="s">
        <v>26</v>
      </c>
      <c r="J20" t="s">
        <v>27</v>
      </c>
      <c r="K20" t="s">
        <v>28</v>
      </c>
      <c r="L20">
        <v>4</v>
      </c>
      <c r="M20">
        <v>14129</v>
      </c>
      <c r="N20">
        <v>20076</v>
      </c>
      <c r="O20">
        <v>0.02</v>
      </c>
      <c r="P20">
        <v>80304</v>
      </c>
      <c r="Q20">
        <v>23788</v>
      </c>
      <c r="R20">
        <v>4</v>
      </c>
    </row>
    <row r="21" spans="1:18" x14ac:dyDescent="0.25">
      <c r="A21" t="s">
        <v>123</v>
      </c>
      <c r="B21" t="s">
        <v>124</v>
      </c>
      <c r="C21" t="s">
        <v>20</v>
      </c>
      <c r="D21" t="s">
        <v>21</v>
      </c>
      <c r="E21" t="s">
        <v>22</v>
      </c>
      <c r="F21" t="s">
        <v>98</v>
      </c>
      <c r="G21" t="s">
        <v>125</v>
      </c>
      <c r="H21" t="s">
        <v>25</v>
      </c>
      <c r="I21" t="s">
        <v>45</v>
      </c>
      <c r="J21" t="s">
        <v>58</v>
      </c>
      <c r="K21" t="s">
        <v>28</v>
      </c>
      <c r="L21">
        <v>4</v>
      </c>
      <c r="M21">
        <v>9490</v>
      </c>
      <c r="N21">
        <v>15157</v>
      </c>
      <c r="O21">
        <v>0.1</v>
      </c>
      <c r="P21">
        <v>60628</v>
      </c>
      <c r="Q21">
        <v>22668</v>
      </c>
      <c r="R21">
        <v>1</v>
      </c>
    </row>
    <row r="22" spans="1:18" x14ac:dyDescent="0.25">
      <c r="A22" t="s">
        <v>126</v>
      </c>
      <c r="B22" t="s">
        <v>127</v>
      </c>
      <c r="C22" t="s">
        <v>20</v>
      </c>
      <c r="D22" t="s">
        <v>21</v>
      </c>
      <c r="E22" t="s">
        <v>22</v>
      </c>
      <c r="F22" t="s">
        <v>92</v>
      </c>
      <c r="G22" t="s">
        <v>128</v>
      </c>
      <c r="H22" t="s">
        <v>44</v>
      </c>
      <c r="I22" t="s">
        <v>45</v>
      </c>
      <c r="J22" t="s">
        <v>75</v>
      </c>
      <c r="K22" t="s">
        <v>54</v>
      </c>
      <c r="L22">
        <v>8</v>
      </c>
      <c r="M22">
        <v>7273</v>
      </c>
      <c r="N22">
        <v>9493</v>
      </c>
      <c r="O22">
        <v>0.04</v>
      </c>
      <c r="P22">
        <v>75944</v>
      </c>
      <c r="Q22">
        <v>17760</v>
      </c>
      <c r="R22">
        <v>2</v>
      </c>
    </row>
    <row r="23" spans="1:18" x14ac:dyDescent="0.25">
      <c r="A23" t="s">
        <v>129</v>
      </c>
      <c r="B23" t="s">
        <v>130</v>
      </c>
      <c r="C23" t="s">
        <v>131</v>
      </c>
      <c r="D23" t="s">
        <v>132</v>
      </c>
      <c r="E23" t="s">
        <v>64</v>
      </c>
      <c r="F23" t="s">
        <v>73</v>
      </c>
      <c r="G23" t="s">
        <v>133</v>
      </c>
      <c r="H23" t="s">
        <v>25</v>
      </c>
      <c r="I23" t="s">
        <v>26</v>
      </c>
      <c r="J23" t="s">
        <v>27</v>
      </c>
      <c r="K23" t="s">
        <v>28</v>
      </c>
      <c r="L23">
        <v>6</v>
      </c>
      <c r="M23">
        <v>1818</v>
      </c>
      <c r="N23">
        <v>2683</v>
      </c>
      <c r="O23">
        <v>0.02</v>
      </c>
      <c r="P23">
        <v>16098</v>
      </c>
      <c r="Q23">
        <v>5190</v>
      </c>
      <c r="R23">
        <v>3</v>
      </c>
    </row>
    <row r="24" spans="1:18" x14ac:dyDescent="0.25">
      <c r="A24" t="s">
        <v>134</v>
      </c>
      <c r="B24" t="s">
        <v>135</v>
      </c>
      <c r="C24" t="s">
        <v>96</v>
      </c>
      <c r="D24" t="s">
        <v>97</v>
      </c>
      <c r="E24" t="s">
        <v>51</v>
      </c>
      <c r="F24" t="s">
        <v>92</v>
      </c>
      <c r="G24" t="s">
        <v>136</v>
      </c>
      <c r="H24" t="s">
        <v>25</v>
      </c>
      <c r="I24" t="s">
        <v>26</v>
      </c>
      <c r="J24" t="s">
        <v>103</v>
      </c>
      <c r="K24" t="s">
        <v>54</v>
      </c>
      <c r="L24">
        <v>1</v>
      </c>
      <c r="M24">
        <v>10294</v>
      </c>
      <c r="N24">
        <v>14993</v>
      </c>
      <c r="O24">
        <v>0.04</v>
      </c>
      <c r="P24">
        <v>14993</v>
      </c>
      <c r="Q24">
        <v>4699</v>
      </c>
      <c r="R24">
        <v>5</v>
      </c>
    </row>
    <row r="25" spans="1:18" x14ac:dyDescent="0.25">
      <c r="A25" t="s">
        <v>76</v>
      </c>
      <c r="B25" t="s">
        <v>137</v>
      </c>
      <c r="C25" t="s">
        <v>49</v>
      </c>
      <c r="D25" t="s">
        <v>50</v>
      </c>
      <c r="E25" t="s">
        <v>51</v>
      </c>
      <c r="G25" t="s">
        <v>138</v>
      </c>
      <c r="H25" t="s">
        <v>44</v>
      </c>
      <c r="I25" t="s">
        <v>26</v>
      </c>
      <c r="J25" t="s">
        <v>46</v>
      </c>
      <c r="K25" t="s">
        <v>36</v>
      </c>
      <c r="L25">
        <v>3</v>
      </c>
      <c r="M25">
        <v>14088</v>
      </c>
      <c r="N25">
        <v>19941</v>
      </c>
      <c r="O25">
        <v>0.1</v>
      </c>
      <c r="P25">
        <v>59823</v>
      </c>
      <c r="Q25">
        <v>17559</v>
      </c>
    </row>
    <row r="26" spans="1:18" x14ac:dyDescent="0.25">
      <c r="A26" t="s">
        <v>139</v>
      </c>
      <c r="B26" t="s">
        <v>140</v>
      </c>
      <c r="C26" t="s">
        <v>141</v>
      </c>
      <c r="D26" t="s">
        <v>142</v>
      </c>
      <c r="E26" t="s">
        <v>51</v>
      </c>
      <c r="F26" t="s">
        <v>98</v>
      </c>
      <c r="G26" t="s">
        <v>143</v>
      </c>
      <c r="H26" t="s">
        <v>25</v>
      </c>
      <c r="I26" t="s">
        <v>45</v>
      </c>
      <c r="J26" t="s">
        <v>103</v>
      </c>
      <c r="K26" t="s">
        <v>28</v>
      </c>
      <c r="L26">
        <v>6</v>
      </c>
      <c r="M26">
        <v>14958</v>
      </c>
      <c r="N26">
        <v>16291</v>
      </c>
      <c r="O26">
        <v>0.1</v>
      </c>
      <c r="P26">
        <v>97746</v>
      </c>
      <c r="Q26">
        <v>7998</v>
      </c>
      <c r="R26">
        <v>2</v>
      </c>
    </row>
    <row r="27" spans="1:18" x14ac:dyDescent="0.25">
      <c r="A27" t="s">
        <v>144</v>
      </c>
      <c r="B27" t="s">
        <v>145</v>
      </c>
      <c r="C27" t="s">
        <v>77</v>
      </c>
      <c r="D27" t="s">
        <v>78</v>
      </c>
      <c r="E27" t="s">
        <v>64</v>
      </c>
      <c r="F27" t="s">
        <v>23</v>
      </c>
      <c r="G27" t="s">
        <v>146</v>
      </c>
      <c r="H27" t="s">
        <v>44</v>
      </c>
      <c r="I27" t="s">
        <v>45</v>
      </c>
      <c r="J27" t="s">
        <v>53</v>
      </c>
      <c r="K27" t="s">
        <v>54</v>
      </c>
      <c r="L27">
        <v>2</v>
      </c>
      <c r="M27">
        <v>1514</v>
      </c>
      <c r="N27">
        <v>9203</v>
      </c>
      <c r="O27">
        <v>0.1</v>
      </c>
      <c r="P27">
        <v>18406</v>
      </c>
      <c r="Q27">
        <v>15378</v>
      </c>
      <c r="R27">
        <v>4</v>
      </c>
    </row>
    <row r="28" spans="1:18" x14ac:dyDescent="0.25">
      <c r="A28" t="s">
        <v>147</v>
      </c>
      <c r="B28" t="s">
        <v>148</v>
      </c>
      <c r="C28" t="s">
        <v>149</v>
      </c>
      <c r="D28" t="s">
        <v>150</v>
      </c>
      <c r="E28" t="s">
        <v>51</v>
      </c>
      <c r="G28" t="s">
        <v>151</v>
      </c>
      <c r="H28" t="s">
        <v>25</v>
      </c>
      <c r="I28" t="s">
        <v>26</v>
      </c>
      <c r="J28" t="s">
        <v>46</v>
      </c>
      <c r="K28" t="s">
        <v>28</v>
      </c>
      <c r="L28">
        <v>1</v>
      </c>
      <c r="M28">
        <v>14004</v>
      </c>
      <c r="N28">
        <v>15696</v>
      </c>
      <c r="O28">
        <v>0.04</v>
      </c>
      <c r="P28">
        <v>15696</v>
      </c>
      <c r="Q28">
        <v>1692</v>
      </c>
      <c r="R28">
        <v>4</v>
      </c>
    </row>
    <row r="29" spans="1:18" x14ac:dyDescent="0.25">
      <c r="A29" t="s">
        <v>152</v>
      </c>
      <c r="B29" t="s">
        <v>153</v>
      </c>
      <c r="C29" t="s">
        <v>39</v>
      </c>
      <c r="D29" t="s">
        <v>40</v>
      </c>
      <c r="E29" t="s">
        <v>41</v>
      </c>
      <c r="F29" t="s">
        <v>73</v>
      </c>
      <c r="G29" t="s">
        <v>154</v>
      </c>
      <c r="H29" t="s">
        <v>25</v>
      </c>
      <c r="I29" t="s">
        <v>35</v>
      </c>
      <c r="J29" t="s">
        <v>46</v>
      </c>
      <c r="K29" t="s">
        <v>36</v>
      </c>
      <c r="L29">
        <v>2</v>
      </c>
      <c r="M29">
        <v>6906</v>
      </c>
      <c r="N29">
        <v>11708</v>
      </c>
      <c r="O29">
        <v>0.05</v>
      </c>
      <c r="P29">
        <v>23416</v>
      </c>
      <c r="Q29">
        <v>9604</v>
      </c>
      <c r="R29">
        <v>1</v>
      </c>
    </row>
    <row r="30" spans="1:18" x14ac:dyDescent="0.25">
      <c r="A30" t="s">
        <v>155</v>
      </c>
      <c r="B30" t="s">
        <v>156</v>
      </c>
      <c r="C30" t="s">
        <v>149</v>
      </c>
      <c r="D30" t="s">
        <v>150</v>
      </c>
      <c r="E30" t="s">
        <v>51</v>
      </c>
      <c r="F30" t="s">
        <v>23</v>
      </c>
      <c r="G30" t="s">
        <v>157</v>
      </c>
      <c r="H30" t="s">
        <v>44</v>
      </c>
      <c r="I30" t="s">
        <v>45</v>
      </c>
      <c r="J30" t="s">
        <v>75</v>
      </c>
      <c r="K30" t="s">
        <v>59</v>
      </c>
      <c r="L30">
        <v>3</v>
      </c>
      <c r="M30">
        <v>10224</v>
      </c>
      <c r="N30">
        <v>12730</v>
      </c>
      <c r="O30">
        <v>0</v>
      </c>
      <c r="P30">
        <v>38190</v>
      </c>
      <c r="Q30">
        <v>7518</v>
      </c>
      <c r="R30">
        <v>3</v>
      </c>
    </row>
    <row r="31" spans="1:18" x14ac:dyDescent="0.25">
      <c r="A31" t="s">
        <v>158</v>
      </c>
      <c r="B31" t="s">
        <v>159</v>
      </c>
      <c r="C31" t="s">
        <v>77</v>
      </c>
      <c r="D31" t="s">
        <v>78</v>
      </c>
      <c r="E31" t="s">
        <v>64</v>
      </c>
      <c r="F31" t="s">
        <v>42</v>
      </c>
      <c r="G31" t="s">
        <v>160</v>
      </c>
      <c r="H31" t="s">
        <v>25</v>
      </c>
      <c r="I31" t="s">
        <v>26</v>
      </c>
      <c r="J31" t="s">
        <v>120</v>
      </c>
      <c r="K31" t="s">
        <v>28</v>
      </c>
      <c r="L31">
        <v>8</v>
      </c>
      <c r="M31">
        <v>10339</v>
      </c>
      <c r="N31">
        <v>11559</v>
      </c>
      <c r="O31">
        <v>0.04</v>
      </c>
      <c r="P31">
        <v>92472</v>
      </c>
      <c r="Q31">
        <v>9760</v>
      </c>
      <c r="R31">
        <v>5</v>
      </c>
    </row>
    <row r="32" spans="1:18" x14ac:dyDescent="0.25">
      <c r="A32" t="s">
        <v>161</v>
      </c>
      <c r="B32" t="s">
        <v>162</v>
      </c>
      <c r="C32" t="s">
        <v>96</v>
      </c>
      <c r="D32" t="s">
        <v>97</v>
      </c>
      <c r="E32" t="s">
        <v>51</v>
      </c>
      <c r="G32" t="s">
        <v>163</v>
      </c>
      <c r="H32" t="s">
        <v>25</v>
      </c>
      <c r="I32" t="s">
        <v>35</v>
      </c>
      <c r="J32" t="s">
        <v>75</v>
      </c>
      <c r="K32" t="s">
        <v>28</v>
      </c>
      <c r="L32">
        <v>6</v>
      </c>
      <c r="M32">
        <v>5400</v>
      </c>
      <c r="N32">
        <v>13318</v>
      </c>
      <c r="O32">
        <v>0.05</v>
      </c>
      <c r="P32">
        <v>79908</v>
      </c>
      <c r="Q32">
        <v>47508</v>
      </c>
      <c r="R32">
        <v>3</v>
      </c>
    </row>
    <row r="33" spans="1:18" x14ac:dyDescent="0.25">
      <c r="A33" t="s">
        <v>164</v>
      </c>
      <c r="B33" t="s">
        <v>165</v>
      </c>
      <c r="C33" t="s">
        <v>82</v>
      </c>
      <c r="D33" t="s">
        <v>83</v>
      </c>
      <c r="E33" t="s">
        <v>51</v>
      </c>
      <c r="F33" t="s">
        <v>23</v>
      </c>
      <c r="G33" t="s">
        <v>166</v>
      </c>
      <c r="H33" t="s">
        <v>25</v>
      </c>
      <c r="I33" t="s">
        <v>45</v>
      </c>
      <c r="J33" t="s">
        <v>120</v>
      </c>
      <c r="K33" t="s">
        <v>59</v>
      </c>
      <c r="L33">
        <v>8</v>
      </c>
      <c r="M33">
        <v>11327</v>
      </c>
      <c r="N33">
        <v>18223</v>
      </c>
      <c r="O33">
        <v>0.05</v>
      </c>
      <c r="P33">
        <v>145784</v>
      </c>
      <c r="Q33">
        <v>55168</v>
      </c>
      <c r="R33">
        <v>1</v>
      </c>
    </row>
    <row r="34" spans="1:18" x14ac:dyDescent="0.25">
      <c r="A34" t="s">
        <v>167</v>
      </c>
      <c r="B34" t="s">
        <v>168</v>
      </c>
      <c r="C34" t="s">
        <v>62</v>
      </c>
      <c r="D34" t="s">
        <v>63</v>
      </c>
      <c r="E34" t="s">
        <v>64</v>
      </c>
      <c r="F34" t="s">
        <v>98</v>
      </c>
      <c r="G34" t="s">
        <v>169</v>
      </c>
      <c r="H34" t="s">
        <v>44</v>
      </c>
      <c r="I34" t="s">
        <v>45</v>
      </c>
      <c r="J34" t="s">
        <v>120</v>
      </c>
      <c r="K34" t="s">
        <v>36</v>
      </c>
      <c r="L34">
        <v>8</v>
      </c>
      <c r="M34">
        <v>13977</v>
      </c>
      <c r="N34">
        <v>18293</v>
      </c>
      <c r="O34">
        <v>0</v>
      </c>
      <c r="P34">
        <v>146344</v>
      </c>
      <c r="Q34">
        <v>34528</v>
      </c>
      <c r="R34">
        <v>1</v>
      </c>
    </row>
    <row r="35" spans="1:18" x14ac:dyDescent="0.25">
      <c r="A35" t="s">
        <v>170</v>
      </c>
      <c r="B35" t="s">
        <v>171</v>
      </c>
      <c r="C35" t="s">
        <v>39</v>
      </c>
      <c r="D35" t="s">
        <v>40</v>
      </c>
      <c r="E35" t="s">
        <v>41</v>
      </c>
      <c r="G35" t="s">
        <v>172</v>
      </c>
      <c r="H35" t="s">
        <v>44</v>
      </c>
      <c r="I35" t="s">
        <v>35</v>
      </c>
      <c r="J35" t="s">
        <v>103</v>
      </c>
      <c r="K35" t="s">
        <v>28</v>
      </c>
      <c r="L35">
        <v>4</v>
      </c>
      <c r="M35">
        <v>13112</v>
      </c>
      <c r="N35">
        <v>13922</v>
      </c>
      <c r="O35">
        <v>0.02</v>
      </c>
      <c r="P35">
        <v>55688</v>
      </c>
      <c r="Q35">
        <v>3240</v>
      </c>
      <c r="R35">
        <v>4</v>
      </c>
    </row>
    <row r="36" spans="1:18" x14ac:dyDescent="0.25">
      <c r="A36" t="s">
        <v>173</v>
      </c>
      <c r="B36" t="s">
        <v>174</v>
      </c>
      <c r="C36" t="s">
        <v>31</v>
      </c>
      <c r="D36" t="s">
        <v>32</v>
      </c>
      <c r="E36" t="s">
        <v>33</v>
      </c>
      <c r="F36" t="s">
        <v>98</v>
      </c>
      <c r="G36" t="s">
        <v>175</v>
      </c>
      <c r="H36" t="s">
        <v>44</v>
      </c>
      <c r="I36" t="s">
        <v>26</v>
      </c>
      <c r="J36" t="s">
        <v>53</v>
      </c>
      <c r="K36" t="s">
        <v>28</v>
      </c>
      <c r="L36">
        <v>5</v>
      </c>
      <c r="M36">
        <v>3653</v>
      </c>
      <c r="N36">
        <v>6965</v>
      </c>
      <c r="O36">
        <v>0.05</v>
      </c>
      <c r="P36">
        <v>34825</v>
      </c>
      <c r="Q36">
        <v>16560</v>
      </c>
      <c r="R36">
        <v>4</v>
      </c>
    </row>
    <row r="37" spans="1:18" x14ac:dyDescent="0.25">
      <c r="A37" t="s">
        <v>176</v>
      </c>
      <c r="B37" t="s">
        <v>177</v>
      </c>
      <c r="C37" t="s">
        <v>39</v>
      </c>
      <c r="D37" t="s">
        <v>40</v>
      </c>
      <c r="E37" t="s">
        <v>41</v>
      </c>
      <c r="F37" t="s">
        <v>92</v>
      </c>
      <c r="G37" t="s">
        <v>178</v>
      </c>
      <c r="H37" t="s">
        <v>25</v>
      </c>
      <c r="I37" t="s">
        <v>26</v>
      </c>
      <c r="J37" t="s">
        <v>75</v>
      </c>
      <c r="K37" t="s">
        <v>36</v>
      </c>
      <c r="L37">
        <v>4</v>
      </c>
      <c r="M37">
        <v>1463</v>
      </c>
      <c r="N37">
        <v>4907</v>
      </c>
      <c r="O37">
        <v>0.02</v>
      </c>
      <c r="P37">
        <v>19628</v>
      </c>
      <c r="Q37">
        <v>13776</v>
      </c>
      <c r="R37">
        <v>2</v>
      </c>
    </row>
    <row r="38" spans="1:18" x14ac:dyDescent="0.25">
      <c r="A38" t="s">
        <v>66</v>
      </c>
      <c r="B38" t="s">
        <v>179</v>
      </c>
      <c r="C38" t="s">
        <v>106</v>
      </c>
      <c r="D38" t="s">
        <v>107</v>
      </c>
      <c r="E38" t="s">
        <v>41</v>
      </c>
      <c r="G38" t="s">
        <v>180</v>
      </c>
      <c r="H38" t="s">
        <v>25</v>
      </c>
      <c r="I38" t="s">
        <v>35</v>
      </c>
      <c r="J38" t="s">
        <v>75</v>
      </c>
      <c r="K38" t="s">
        <v>28</v>
      </c>
      <c r="L38">
        <v>8</v>
      </c>
      <c r="M38">
        <v>4947</v>
      </c>
      <c r="N38">
        <v>11572</v>
      </c>
      <c r="O38">
        <v>0.04</v>
      </c>
      <c r="P38">
        <v>92576</v>
      </c>
      <c r="Q38">
        <v>53000</v>
      </c>
      <c r="R38">
        <v>2</v>
      </c>
    </row>
    <row r="39" spans="1:18" x14ac:dyDescent="0.25">
      <c r="A39" t="s">
        <v>181</v>
      </c>
      <c r="B39" t="s">
        <v>182</v>
      </c>
      <c r="C39" t="s">
        <v>49</v>
      </c>
      <c r="D39" t="s">
        <v>50</v>
      </c>
      <c r="E39" t="s">
        <v>51</v>
      </c>
      <c r="G39" t="s">
        <v>183</v>
      </c>
      <c r="H39" t="s">
        <v>25</v>
      </c>
      <c r="I39" t="s">
        <v>26</v>
      </c>
      <c r="J39" t="s">
        <v>75</v>
      </c>
      <c r="K39" t="s">
        <v>36</v>
      </c>
      <c r="L39">
        <v>8</v>
      </c>
      <c r="M39">
        <v>14145</v>
      </c>
      <c r="N39">
        <v>21828</v>
      </c>
      <c r="O39">
        <v>0</v>
      </c>
      <c r="P39">
        <v>174624</v>
      </c>
      <c r="Q39">
        <v>61464</v>
      </c>
      <c r="R39">
        <v>3</v>
      </c>
    </row>
    <row r="40" spans="1:18" x14ac:dyDescent="0.25">
      <c r="A40" t="s">
        <v>181</v>
      </c>
      <c r="B40" t="s">
        <v>184</v>
      </c>
      <c r="C40" t="s">
        <v>62</v>
      </c>
      <c r="D40" t="s">
        <v>63</v>
      </c>
      <c r="E40" t="s">
        <v>64</v>
      </c>
      <c r="F40" t="s">
        <v>73</v>
      </c>
      <c r="G40" t="s">
        <v>185</v>
      </c>
      <c r="H40" t="s">
        <v>44</v>
      </c>
      <c r="I40" t="s">
        <v>35</v>
      </c>
      <c r="J40" t="s">
        <v>27</v>
      </c>
      <c r="K40" t="s">
        <v>28</v>
      </c>
      <c r="L40">
        <v>4</v>
      </c>
      <c r="M40">
        <v>6665</v>
      </c>
      <c r="N40">
        <v>12111</v>
      </c>
      <c r="O40">
        <v>0</v>
      </c>
      <c r="P40">
        <v>48444</v>
      </c>
      <c r="Q40">
        <v>21784</v>
      </c>
    </row>
    <row r="41" spans="1:18" x14ac:dyDescent="0.25">
      <c r="A41" t="s">
        <v>186</v>
      </c>
      <c r="B41" t="s">
        <v>187</v>
      </c>
      <c r="C41" t="s">
        <v>49</v>
      </c>
      <c r="D41" t="s">
        <v>50</v>
      </c>
      <c r="E41" t="s">
        <v>51</v>
      </c>
      <c r="F41" t="s">
        <v>98</v>
      </c>
      <c r="G41" t="s">
        <v>188</v>
      </c>
      <c r="H41" t="s">
        <v>44</v>
      </c>
      <c r="I41" t="s">
        <v>45</v>
      </c>
      <c r="J41" t="s">
        <v>58</v>
      </c>
      <c r="K41" t="s">
        <v>28</v>
      </c>
      <c r="L41">
        <v>8</v>
      </c>
      <c r="M41">
        <v>9303</v>
      </c>
      <c r="N41">
        <v>16713</v>
      </c>
      <c r="O41">
        <v>0.05</v>
      </c>
      <c r="P41">
        <v>133704</v>
      </c>
      <c r="Q41">
        <v>59280</v>
      </c>
      <c r="R41">
        <v>5</v>
      </c>
    </row>
    <row r="42" spans="1:18" x14ac:dyDescent="0.25">
      <c r="A42" t="s">
        <v>189</v>
      </c>
      <c r="B42" t="s">
        <v>190</v>
      </c>
      <c r="C42" t="s">
        <v>82</v>
      </c>
      <c r="D42" t="s">
        <v>83</v>
      </c>
      <c r="E42" t="s">
        <v>51</v>
      </c>
      <c r="G42" t="s">
        <v>191</v>
      </c>
      <c r="H42" t="s">
        <v>44</v>
      </c>
      <c r="I42" t="s">
        <v>45</v>
      </c>
      <c r="J42" t="s">
        <v>103</v>
      </c>
      <c r="K42" t="s">
        <v>59</v>
      </c>
      <c r="L42">
        <v>3</v>
      </c>
      <c r="M42">
        <v>10239</v>
      </c>
      <c r="N42">
        <v>13735</v>
      </c>
      <c r="O42">
        <v>0.02</v>
      </c>
      <c r="P42">
        <v>41205</v>
      </c>
      <c r="Q42">
        <v>10488</v>
      </c>
      <c r="R42">
        <v>3</v>
      </c>
    </row>
    <row r="43" spans="1:18" x14ac:dyDescent="0.25">
      <c r="A43" t="s">
        <v>192</v>
      </c>
      <c r="B43" t="s">
        <v>193</v>
      </c>
      <c r="C43" t="s">
        <v>131</v>
      </c>
      <c r="D43" t="s">
        <v>132</v>
      </c>
      <c r="E43" t="s">
        <v>64</v>
      </c>
      <c r="F43" t="s">
        <v>92</v>
      </c>
      <c r="G43" t="s">
        <v>194</v>
      </c>
      <c r="H43" t="s">
        <v>44</v>
      </c>
      <c r="I43" t="s">
        <v>45</v>
      </c>
      <c r="J43" t="s">
        <v>46</v>
      </c>
      <c r="K43" t="s">
        <v>36</v>
      </c>
      <c r="L43">
        <v>5</v>
      </c>
      <c r="M43">
        <v>2729</v>
      </c>
      <c r="N43">
        <v>10615</v>
      </c>
      <c r="O43">
        <v>0.04</v>
      </c>
      <c r="P43">
        <v>53075</v>
      </c>
      <c r="Q43">
        <v>39430</v>
      </c>
    </row>
    <row r="44" spans="1:18" x14ac:dyDescent="0.25">
      <c r="A44" t="s">
        <v>195</v>
      </c>
      <c r="B44" t="s">
        <v>196</v>
      </c>
      <c r="C44" t="s">
        <v>87</v>
      </c>
      <c r="D44" t="s">
        <v>88</v>
      </c>
      <c r="E44" t="s">
        <v>33</v>
      </c>
      <c r="F44" t="s">
        <v>92</v>
      </c>
      <c r="G44" t="s">
        <v>197</v>
      </c>
      <c r="H44" t="s">
        <v>44</v>
      </c>
      <c r="I44" t="s">
        <v>35</v>
      </c>
      <c r="J44" t="s">
        <v>120</v>
      </c>
      <c r="K44" t="s">
        <v>54</v>
      </c>
      <c r="L44">
        <v>2</v>
      </c>
      <c r="M44">
        <v>9127</v>
      </c>
      <c r="N44">
        <v>15035</v>
      </c>
      <c r="O44">
        <v>0.04</v>
      </c>
      <c r="P44">
        <v>30070</v>
      </c>
      <c r="Q44">
        <v>11816</v>
      </c>
      <c r="R44">
        <v>1</v>
      </c>
    </row>
    <row r="45" spans="1:18" x14ac:dyDescent="0.25">
      <c r="A45" t="s">
        <v>198</v>
      </c>
      <c r="B45" t="s">
        <v>199</v>
      </c>
      <c r="C45" t="s">
        <v>71</v>
      </c>
      <c r="D45" t="s">
        <v>72</v>
      </c>
      <c r="E45" t="s">
        <v>64</v>
      </c>
      <c r="G45" t="s">
        <v>200</v>
      </c>
      <c r="H45" t="s">
        <v>25</v>
      </c>
      <c r="I45" t="s">
        <v>45</v>
      </c>
      <c r="J45" t="s">
        <v>27</v>
      </c>
      <c r="K45" t="s">
        <v>59</v>
      </c>
      <c r="L45">
        <v>4</v>
      </c>
      <c r="M45">
        <v>10622</v>
      </c>
      <c r="N45">
        <v>17646</v>
      </c>
      <c r="O45">
        <v>0</v>
      </c>
      <c r="P45">
        <v>70584</v>
      </c>
      <c r="Q45">
        <v>28096</v>
      </c>
    </row>
    <row r="46" spans="1:18" x14ac:dyDescent="0.25">
      <c r="A46" t="s">
        <v>192</v>
      </c>
      <c r="B46" t="s">
        <v>201</v>
      </c>
      <c r="C46" t="s">
        <v>82</v>
      </c>
      <c r="D46" t="s">
        <v>83</v>
      </c>
      <c r="E46" t="s">
        <v>51</v>
      </c>
      <c r="F46" t="s">
        <v>98</v>
      </c>
      <c r="G46" t="s">
        <v>202</v>
      </c>
      <c r="H46" t="s">
        <v>44</v>
      </c>
      <c r="I46" t="s">
        <v>26</v>
      </c>
      <c r="J46" t="s">
        <v>103</v>
      </c>
      <c r="K46" t="s">
        <v>28</v>
      </c>
      <c r="L46">
        <v>4</v>
      </c>
      <c r="M46">
        <v>7272</v>
      </c>
      <c r="N46">
        <v>9025</v>
      </c>
      <c r="O46">
        <v>0.04</v>
      </c>
      <c r="P46">
        <v>36100</v>
      </c>
      <c r="Q46">
        <v>7012</v>
      </c>
      <c r="R46">
        <v>5</v>
      </c>
    </row>
    <row r="47" spans="1:18" x14ac:dyDescent="0.25">
      <c r="A47" t="s">
        <v>203</v>
      </c>
      <c r="B47" t="s">
        <v>204</v>
      </c>
      <c r="C47" t="s">
        <v>49</v>
      </c>
      <c r="D47" t="s">
        <v>50</v>
      </c>
      <c r="E47" t="s">
        <v>51</v>
      </c>
      <c r="F47" t="s">
        <v>92</v>
      </c>
      <c r="G47" t="s">
        <v>205</v>
      </c>
      <c r="H47" t="s">
        <v>44</v>
      </c>
      <c r="I47" t="s">
        <v>45</v>
      </c>
      <c r="J47" t="s">
        <v>103</v>
      </c>
      <c r="K47" t="s">
        <v>28</v>
      </c>
      <c r="L47">
        <v>8</v>
      </c>
      <c r="M47">
        <v>13705</v>
      </c>
      <c r="N47">
        <v>17137</v>
      </c>
      <c r="O47">
        <v>0</v>
      </c>
      <c r="P47">
        <v>137096</v>
      </c>
      <c r="Q47">
        <v>27456</v>
      </c>
      <c r="R47">
        <v>2</v>
      </c>
    </row>
    <row r="48" spans="1:18" x14ac:dyDescent="0.25">
      <c r="A48" t="s">
        <v>206</v>
      </c>
      <c r="B48" t="s">
        <v>207</v>
      </c>
      <c r="C48" t="s">
        <v>87</v>
      </c>
      <c r="D48" t="s">
        <v>88</v>
      </c>
      <c r="E48" t="s">
        <v>33</v>
      </c>
      <c r="F48" t="s">
        <v>98</v>
      </c>
      <c r="G48" t="s">
        <v>208</v>
      </c>
      <c r="H48" t="s">
        <v>25</v>
      </c>
      <c r="I48" t="s">
        <v>35</v>
      </c>
      <c r="J48" t="s">
        <v>58</v>
      </c>
      <c r="K48" t="s">
        <v>54</v>
      </c>
      <c r="L48">
        <v>1</v>
      </c>
      <c r="M48">
        <v>14634</v>
      </c>
      <c r="N48">
        <v>17402</v>
      </c>
      <c r="O48">
        <v>0.04</v>
      </c>
      <c r="P48">
        <v>17402</v>
      </c>
      <c r="Q48">
        <v>2768</v>
      </c>
    </row>
    <row r="49" spans="1:18" x14ac:dyDescent="0.25">
      <c r="A49" t="s">
        <v>209</v>
      </c>
      <c r="B49" t="s">
        <v>210</v>
      </c>
      <c r="C49" t="s">
        <v>141</v>
      </c>
      <c r="D49" t="s">
        <v>142</v>
      </c>
      <c r="E49" t="s">
        <v>51</v>
      </c>
      <c r="F49" t="s">
        <v>73</v>
      </c>
      <c r="G49" t="s">
        <v>211</v>
      </c>
      <c r="H49" t="s">
        <v>25</v>
      </c>
      <c r="I49" t="s">
        <v>26</v>
      </c>
      <c r="J49" t="s">
        <v>53</v>
      </c>
      <c r="K49" t="s">
        <v>28</v>
      </c>
      <c r="L49">
        <v>1</v>
      </c>
      <c r="M49">
        <v>5749</v>
      </c>
      <c r="N49">
        <v>10658</v>
      </c>
      <c r="O49">
        <v>0.05</v>
      </c>
      <c r="P49">
        <v>10658</v>
      </c>
      <c r="Q49">
        <v>4909</v>
      </c>
      <c r="R49">
        <v>2</v>
      </c>
    </row>
    <row r="50" spans="1:18" x14ac:dyDescent="0.25">
      <c r="A50" t="s">
        <v>94</v>
      </c>
      <c r="B50" t="s">
        <v>212</v>
      </c>
      <c r="C50" t="s">
        <v>20</v>
      </c>
      <c r="D50" t="s">
        <v>21</v>
      </c>
      <c r="E50" t="s">
        <v>22</v>
      </c>
      <c r="G50" t="s">
        <v>213</v>
      </c>
      <c r="H50" t="s">
        <v>44</v>
      </c>
      <c r="I50" t="s">
        <v>26</v>
      </c>
      <c r="J50" t="s">
        <v>58</v>
      </c>
      <c r="K50" t="s">
        <v>59</v>
      </c>
      <c r="L50">
        <v>8</v>
      </c>
      <c r="M50">
        <v>7092</v>
      </c>
      <c r="N50">
        <v>9340</v>
      </c>
      <c r="O50">
        <v>0</v>
      </c>
      <c r="P50">
        <v>74720</v>
      </c>
      <c r="Q50">
        <v>17984</v>
      </c>
      <c r="R50">
        <v>2</v>
      </c>
    </row>
    <row r="51" spans="1:18" x14ac:dyDescent="0.25">
      <c r="A51" t="s">
        <v>214</v>
      </c>
      <c r="B51" t="s">
        <v>215</v>
      </c>
      <c r="C51" t="s">
        <v>216</v>
      </c>
      <c r="D51" t="s">
        <v>217</v>
      </c>
      <c r="E51" t="s">
        <v>33</v>
      </c>
      <c r="F51" t="s">
        <v>73</v>
      </c>
      <c r="G51" t="s">
        <v>218</v>
      </c>
      <c r="H51" t="s">
        <v>44</v>
      </c>
      <c r="I51" t="s">
        <v>35</v>
      </c>
      <c r="J51" t="s">
        <v>53</v>
      </c>
      <c r="K51" t="s">
        <v>54</v>
      </c>
      <c r="L51">
        <v>2</v>
      </c>
      <c r="M51">
        <v>14111</v>
      </c>
      <c r="N51">
        <v>16071</v>
      </c>
      <c r="O51">
        <v>0.1</v>
      </c>
      <c r="P51">
        <v>32142</v>
      </c>
      <c r="Q51">
        <v>3920</v>
      </c>
      <c r="R51">
        <v>1</v>
      </c>
    </row>
    <row r="52" spans="1:18" x14ac:dyDescent="0.25">
      <c r="A52" t="s">
        <v>186</v>
      </c>
      <c r="B52" t="s">
        <v>219</v>
      </c>
      <c r="C52" t="s">
        <v>106</v>
      </c>
      <c r="D52" t="s">
        <v>107</v>
      </c>
      <c r="E52" t="s">
        <v>41</v>
      </c>
      <c r="F52" t="s">
        <v>92</v>
      </c>
      <c r="G52" t="s">
        <v>220</v>
      </c>
      <c r="H52" t="s">
        <v>25</v>
      </c>
      <c r="I52" t="s">
        <v>45</v>
      </c>
      <c r="J52" t="s">
        <v>58</v>
      </c>
      <c r="K52" t="s">
        <v>36</v>
      </c>
      <c r="L52">
        <v>6</v>
      </c>
      <c r="M52">
        <v>12764</v>
      </c>
      <c r="N52">
        <v>19047</v>
      </c>
      <c r="O52">
        <v>0.04</v>
      </c>
      <c r="P52">
        <v>114282</v>
      </c>
      <c r="Q52">
        <v>37698</v>
      </c>
      <c r="R52">
        <v>4</v>
      </c>
    </row>
    <row r="53" spans="1:18" x14ac:dyDescent="0.25">
      <c r="A53" t="s">
        <v>221</v>
      </c>
      <c r="B53" t="s">
        <v>222</v>
      </c>
      <c r="C53" t="s">
        <v>77</v>
      </c>
      <c r="D53" t="s">
        <v>78</v>
      </c>
      <c r="E53" t="s">
        <v>64</v>
      </c>
      <c r="F53" t="s">
        <v>92</v>
      </c>
      <c r="G53" t="s">
        <v>223</v>
      </c>
      <c r="H53" t="s">
        <v>25</v>
      </c>
      <c r="I53" t="s">
        <v>26</v>
      </c>
      <c r="J53" t="s">
        <v>53</v>
      </c>
      <c r="K53" t="s">
        <v>36</v>
      </c>
      <c r="L53">
        <v>3</v>
      </c>
      <c r="M53">
        <v>14260</v>
      </c>
      <c r="N53">
        <v>15292</v>
      </c>
      <c r="O53">
        <v>0.02</v>
      </c>
      <c r="P53">
        <v>45876</v>
      </c>
      <c r="Q53">
        <v>3096</v>
      </c>
      <c r="R53">
        <v>5</v>
      </c>
    </row>
    <row r="54" spans="1:18" x14ac:dyDescent="0.25">
      <c r="A54" t="s">
        <v>224</v>
      </c>
      <c r="B54" t="s">
        <v>225</v>
      </c>
      <c r="C54" t="s">
        <v>20</v>
      </c>
      <c r="D54" t="s">
        <v>21</v>
      </c>
      <c r="E54" t="s">
        <v>22</v>
      </c>
      <c r="F54" t="s">
        <v>73</v>
      </c>
      <c r="G54" t="s">
        <v>226</v>
      </c>
      <c r="H54" t="s">
        <v>44</v>
      </c>
      <c r="I54" t="s">
        <v>26</v>
      </c>
      <c r="J54" t="s">
        <v>46</v>
      </c>
      <c r="K54" t="s">
        <v>36</v>
      </c>
      <c r="L54">
        <v>5</v>
      </c>
      <c r="M54">
        <v>9431</v>
      </c>
      <c r="N54">
        <v>10935</v>
      </c>
      <c r="O54">
        <v>0</v>
      </c>
      <c r="P54">
        <v>54675</v>
      </c>
      <c r="Q54">
        <v>7520</v>
      </c>
      <c r="R54">
        <v>4</v>
      </c>
    </row>
    <row r="55" spans="1:18" x14ac:dyDescent="0.25">
      <c r="A55" t="s">
        <v>227</v>
      </c>
      <c r="B55" t="s">
        <v>228</v>
      </c>
      <c r="C55" t="s">
        <v>141</v>
      </c>
      <c r="D55" t="s">
        <v>142</v>
      </c>
      <c r="E55" t="s">
        <v>51</v>
      </c>
      <c r="F55" t="s">
        <v>23</v>
      </c>
      <c r="G55" t="s">
        <v>229</v>
      </c>
      <c r="H55" t="s">
        <v>25</v>
      </c>
      <c r="I55" t="s">
        <v>26</v>
      </c>
      <c r="J55" t="s">
        <v>53</v>
      </c>
      <c r="K55" t="s">
        <v>54</v>
      </c>
      <c r="L55">
        <v>5</v>
      </c>
      <c r="M55">
        <v>4319</v>
      </c>
      <c r="N55">
        <v>7297</v>
      </c>
      <c r="O55">
        <v>0</v>
      </c>
      <c r="P55">
        <v>36485</v>
      </c>
      <c r="Q55">
        <v>14890</v>
      </c>
      <c r="R55">
        <v>4</v>
      </c>
    </row>
    <row r="56" spans="1:18" x14ac:dyDescent="0.25">
      <c r="A56" t="s">
        <v>230</v>
      </c>
      <c r="B56" t="s">
        <v>231</v>
      </c>
      <c r="C56" t="s">
        <v>62</v>
      </c>
      <c r="D56" t="s">
        <v>63</v>
      </c>
      <c r="E56" t="s">
        <v>64</v>
      </c>
      <c r="F56" t="s">
        <v>73</v>
      </c>
      <c r="G56" t="s">
        <v>232</v>
      </c>
      <c r="H56" t="s">
        <v>25</v>
      </c>
      <c r="I56" t="s">
        <v>35</v>
      </c>
      <c r="J56" t="s">
        <v>75</v>
      </c>
      <c r="K56" t="s">
        <v>36</v>
      </c>
      <c r="L56">
        <v>4</v>
      </c>
      <c r="M56">
        <v>14158</v>
      </c>
      <c r="N56">
        <v>15759</v>
      </c>
      <c r="O56">
        <v>0</v>
      </c>
      <c r="P56">
        <v>63036</v>
      </c>
      <c r="Q56">
        <v>6404</v>
      </c>
      <c r="R56">
        <v>4</v>
      </c>
    </row>
    <row r="57" spans="1:18" x14ac:dyDescent="0.25">
      <c r="A57" t="s">
        <v>233</v>
      </c>
      <c r="B57" t="s">
        <v>234</v>
      </c>
      <c r="C57" t="s">
        <v>31</v>
      </c>
      <c r="D57" t="s">
        <v>32</v>
      </c>
      <c r="E57" t="s">
        <v>33</v>
      </c>
      <c r="F57" t="s">
        <v>92</v>
      </c>
      <c r="G57" t="s">
        <v>235</v>
      </c>
      <c r="H57" t="s">
        <v>44</v>
      </c>
      <c r="I57" t="s">
        <v>35</v>
      </c>
      <c r="J57" t="s">
        <v>53</v>
      </c>
      <c r="K57" t="s">
        <v>36</v>
      </c>
      <c r="L57">
        <v>8</v>
      </c>
      <c r="M57">
        <v>11965</v>
      </c>
      <c r="N57">
        <v>18639</v>
      </c>
      <c r="O57">
        <v>0</v>
      </c>
      <c r="P57">
        <v>149112</v>
      </c>
      <c r="Q57">
        <v>53392</v>
      </c>
      <c r="R57">
        <v>2</v>
      </c>
    </row>
    <row r="58" spans="1:18" x14ac:dyDescent="0.25">
      <c r="A58" t="s">
        <v>236</v>
      </c>
      <c r="B58" t="s">
        <v>237</v>
      </c>
      <c r="C58" t="s">
        <v>87</v>
      </c>
      <c r="D58" t="s">
        <v>88</v>
      </c>
      <c r="E58" t="s">
        <v>33</v>
      </c>
      <c r="F58" t="s">
        <v>42</v>
      </c>
      <c r="G58" t="s">
        <v>238</v>
      </c>
      <c r="H58" t="s">
        <v>25</v>
      </c>
      <c r="I58" t="s">
        <v>26</v>
      </c>
      <c r="J58" t="s">
        <v>120</v>
      </c>
      <c r="K58" t="s">
        <v>59</v>
      </c>
      <c r="L58">
        <v>6</v>
      </c>
      <c r="M58">
        <v>5848</v>
      </c>
      <c r="N58">
        <v>8502</v>
      </c>
      <c r="O58">
        <v>0</v>
      </c>
      <c r="P58">
        <v>51012</v>
      </c>
      <c r="Q58">
        <v>15924</v>
      </c>
    </row>
    <row r="59" spans="1:18" x14ac:dyDescent="0.25">
      <c r="A59" t="s">
        <v>239</v>
      </c>
      <c r="B59" t="s">
        <v>240</v>
      </c>
      <c r="C59" t="s">
        <v>241</v>
      </c>
      <c r="D59" t="s">
        <v>242</v>
      </c>
      <c r="E59" t="s">
        <v>22</v>
      </c>
      <c r="G59" t="s">
        <v>243</v>
      </c>
      <c r="H59" t="s">
        <v>44</v>
      </c>
      <c r="I59" t="s">
        <v>26</v>
      </c>
      <c r="J59" t="s">
        <v>53</v>
      </c>
      <c r="K59" t="s">
        <v>28</v>
      </c>
      <c r="L59">
        <v>4</v>
      </c>
      <c r="M59">
        <v>6585</v>
      </c>
      <c r="N59">
        <v>13483</v>
      </c>
      <c r="O59">
        <v>0.05</v>
      </c>
      <c r="P59">
        <v>53932</v>
      </c>
      <c r="Q59">
        <v>27592</v>
      </c>
      <c r="R59">
        <v>1</v>
      </c>
    </row>
    <row r="60" spans="1:18" x14ac:dyDescent="0.25">
      <c r="A60" t="s">
        <v>244</v>
      </c>
      <c r="B60" t="s">
        <v>245</v>
      </c>
      <c r="C60" t="s">
        <v>141</v>
      </c>
      <c r="D60" t="s">
        <v>142</v>
      </c>
      <c r="E60" t="s">
        <v>51</v>
      </c>
      <c r="F60" t="s">
        <v>92</v>
      </c>
      <c r="G60" t="s">
        <v>246</v>
      </c>
      <c r="H60" t="s">
        <v>44</v>
      </c>
      <c r="I60" t="s">
        <v>35</v>
      </c>
      <c r="J60" t="s">
        <v>75</v>
      </c>
      <c r="K60" t="s">
        <v>36</v>
      </c>
      <c r="L60">
        <v>3</v>
      </c>
      <c r="M60">
        <v>7001</v>
      </c>
      <c r="N60">
        <v>13035</v>
      </c>
      <c r="O60">
        <v>0.02</v>
      </c>
      <c r="P60">
        <v>39105</v>
      </c>
      <c r="Q60">
        <v>18102</v>
      </c>
      <c r="R60">
        <v>3</v>
      </c>
    </row>
    <row r="61" spans="1:18" x14ac:dyDescent="0.25">
      <c r="A61" t="s">
        <v>247</v>
      </c>
      <c r="B61" t="s">
        <v>248</v>
      </c>
      <c r="C61" t="s">
        <v>96</v>
      </c>
      <c r="D61" t="s">
        <v>97</v>
      </c>
      <c r="E61" t="s">
        <v>51</v>
      </c>
      <c r="F61" t="s">
        <v>42</v>
      </c>
      <c r="G61" t="s">
        <v>249</v>
      </c>
      <c r="H61" t="s">
        <v>25</v>
      </c>
      <c r="I61" t="s">
        <v>26</v>
      </c>
      <c r="J61" t="s">
        <v>103</v>
      </c>
      <c r="K61" t="s">
        <v>36</v>
      </c>
      <c r="L61">
        <v>2</v>
      </c>
      <c r="M61">
        <v>3057</v>
      </c>
      <c r="N61">
        <v>10819</v>
      </c>
      <c r="O61">
        <v>0.05</v>
      </c>
      <c r="P61">
        <v>21638</v>
      </c>
      <c r="Q61">
        <v>15524</v>
      </c>
      <c r="R61">
        <v>2</v>
      </c>
    </row>
    <row r="62" spans="1:18" x14ac:dyDescent="0.25">
      <c r="A62" t="s">
        <v>250</v>
      </c>
      <c r="B62" t="s">
        <v>251</v>
      </c>
      <c r="C62" t="s">
        <v>241</v>
      </c>
      <c r="D62" t="s">
        <v>242</v>
      </c>
      <c r="E62" t="s">
        <v>22</v>
      </c>
      <c r="F62" t="s">
        <v>23</v>
      </c>
      <c r="G62" t="s">
        <v>252</v>
      </c>
      <c r="H62" t="s">
        <v>44</v>
      </c>
      <c r="I62" t="s">
        <v>35</v>
      </c>
      <c r="J62" t="s">
        <v>27</v>
      </c>
      <c r="K62" t="s">
        <v>59</v>
      </c>
      <c r="L62">
        <v>5</v>
      </c>
      <c r="M62">
        <v>7628</v>
      </c>
      <c r="N62">
        <v>15536</v>
      </c>
      <c r="O62">
        <v>0.02</v>
      </c>
      <c r="P62">
        <v>77680</v>
      </c>
      <c r="Q62">
        <v>39540</v>
      </c>
    </row>
    <row r="63" spans="1:18" x14ac:dyDescent="0.25">
      <c r="A63" t="s">
        <v>253</v>
      </c>
      <c r="B63" t="s">
        <v>254</v>
      </c>
      <c r="C63" t="s">
        <v>241</v>
      </c>
      <c r="D63" t="s">
        <v>242</v>
      </c>
      <c r="E63" t="s">
        <v>22</v>
      </c>
      <c r="F63" t="s">
        <v>92</v>
      </c>
      <c r="G63" t="s">
        <v>255</v>
      </c>
      <c r="H63" t="s">
        <v>44</v>
      </c>
      <c r="I63" t="s">
        <v>35</v>
      </c>
      <c r="J63" t="s">
        <v>46</v>
      </c>
      <c r="K63" t="s">
        <v>28</v>
      </c>
      <c r="L63">
        <v>3</v>
      </c>
      <c r="M63">
        <v>1884</v>
      </c>
      <c r="N63">
        <v>3634</v>
      </c>
      <c r="O63">
        <v>0.04</v>
      </c>
      <c r="P63">
        <v>10902</v>
      </c>
      <c r="Q63">
        <v>5250</v>
      </c>
      <c r="R63">
        <v>3</v>
      </c>
    </row>
    <row r="64" spans="1:18" x14ac:dyDescent="0.25">
      <c r="A64" t="s">
        <v>256</v>
      </c>
      <c r="B64" t="s">
        <v>257</v>
      </c>
      <c r="C64" t="s">
        <v>31</v>
      </c>
      <c r="D64" t="s">
        <v>32</v>
      </c>
      <c r="E64" t="s">
        <v>33</v>
      </c>
      <c r="G64" t="s">
        <v>258</v>
      </c>
      <c r="H64" t="s">
        <v>25</v>
      </c>
      <c r="I64" t="s">
        <v>26</v>
      </c>
      <c r="J64" t="s">
        <v>46</v>
      </c>
      <c r="K64" t="s">
        <v>59</v>
      </c>
      <c r="L64">
        <v>7</v>
      </c>
      <c r="M64">
        <v>13323</v>
      </c>
      <c r="N64">
        <v>19796</v>
      </c>
      <c r="O64">
        <v>0.05</v>
      </c>
      <c r="P64">
        <v>138572</v>
      </c>
      <c r="Q64">
        <v>45311</v>
      </c>
      <c r="R64">
        <v>4</v>
      </c>
    </row>
    <row r="65" spans="1:18" x14ac:dyDescent="0.25">
      <c r="A65" t="s">
        <v>259</v>
      </c>
      <c r="B65" t="s">
        <v>260</v>
      </c>
      <c r="C65" t="s">
        <v>117</v>
      </c>
      <c r="D65" t="s">
        <v>118</v>
      </c>
      <c r="E65" t="s">
        <v>41</v>
      </c>
      <c r="F65" t="s">
        <v>92</v>
      </c>
      <c r="G65" t="s">
        <v>261</v>
      </c>
      <c r="H65" t="s">
        <v>25</v>
      </c>
      <c r="I65" t="s">
        <v>35</v>
      </c>
      <c r="J65" t="s">
        <v>103</v>
      </c>
      <c r="K65" t="s">
        <v>54</v>
      </c>
      <c r="L65">
        <v>4</v>
      </c>
      <c r="M65">
        <v>11895</v>
      </c>
      <c r="N65">
        <v>19298</v>
      </c>
      <c r="O65">
        <v>0.04</v>
      </c>
      <c r="P65">
        <v>77192</v>
      </c>
      <c r="Q65">
        <v>29612</v>
      </c>
      <c r="R65">
        <v>1</v>
      </c>
    </row>
    <row r="66" spans="1:18" x14ac:dyDescent="0.25">
      <c r="A66" t="s">
        <v>259</v>
      </c>
      <c r="B66" t="s">
        <v>262</v>
      </c>
      <c r="C66" t="s">
        <v>141</v>
      </c>
      <c r="D66" t="s">
        <v>142</v>
      </c>
      <c r="E66" t="s">
        <v>51</v>
      </c>
      <c r="F66" t="s">
        <v>98</v>
      </c>
      <c r="G66" t="s">
        <v>263</v>
      </c>
      <c r="H66" t="s">
        <v>25</v>
      </c>
      <c r="I66" t="s">
        <v>26</v>
      </c>
      <c r="J66" t="s">
        <v>75</v>
      </c>
      <c r="K66" t="s">
        <v>59</v>
      </c>
      <c r="L66">
        <v>6</v>
      </c>
      <c r="M66">
        <v>9388</v>
      </c>
      <c r="N66">
        <v>13548</v>
      </c>
      <c r="O66">
        <v>0.1</v>
      </c>
      <c r="P66">
        <v>81288</v>
      </c>
      <c r="Q66">
        <v>24960</v>
      </c>
    </row>
    <row r="67" spans="1:18" x14ac:dyDescent="0.25">
      <c r="A67" t="s">
        <v>112</v>
      </c>
      <c r="B67" t="s">
        <v>264</v>
      </c>
      <c r="C67" t="s">
        <v>62</v>
      </c>
      <c r="D67" t="s">
        <v>63</v>
      </c>
      <c r="E67" t="s">
        <v>64</v>
      </c>
      <c r="F67" t="s">
        <v>23</v>
      </c>
      <c r="G67" t="s">
        <v>122</v>
      </c>
      <c r="H67" t="s">
        <v>44</v>
      </c>
      <c r="I67" t="s">
        <v>45</v>
      </c>
      <c r="J67" t="s">
        <v>27</v>
      </c>
      <c r="K67" t="s">
        <v>54</v>
      </c>
      <c r="L67">
        <v>5</v>
      </c>
      <c r="M67">
        <v>7284</v>
      </c>
      <c r="N67">
        <v>15064</v>
      </c>
      <c r="O67">
        <v>0.1</v>
      </c>
      <c r="P67">
        <v>75320</v>
      </c>
      <c r="Q67">
        <v>38900</v>
      </c>
      <c r="R67">
        <v>5</v>
      </c>
    </row>
    <row r="68" spans="1:18" x14ac:dyDescent="0.25">
      <c r="A68" t="s">
        <v>265</v>
      </c>
      <c r="B68" t="s">
        <v>266</v>
      </c>
      <c r="C68" t="s">
        <v>49</v>
      </c>
      <c r="D68" t="s">
        <v>50</v>
      </c>
      <c r="E68" t="s">
        <v>51</v>
      </c>
      <c r="G68" t="s">
        <v>267</v>
      </c>
      <c r="H68" t="s">
        <v>44</v>
      </c>
      <c r="I68" t="s">
        <v>26</v>
      </c>
      <c r="J68" t="s">
        <v>58</v>
      </c>
      <c r="K68" t="s">
        <v>59</v>
      </c>
      <c r="L68">
        <v>4</v>
      </c>
      <c r="M68">
        <v>9238</v>
      </c>
      <c r="N68">
        <v>12276</v>
      </c>
      <c r="O68">
        <v>0.02</v>
      </c>
      <c r="P68">
        <v>49104</v>
      </c>
      <c r="Q68">
        <v>12152</v>
      </c>
      <c r="R68">
        <v>5</v>
      </c>
    </row>
    <row r="69" spans="1:18" x14ac:dyDescent="0.25">
      <c r="A69" t="s">
        <v>268</v>
      </c>
      <c r="B69" t="s">
        <v>269</v>
      </c>
      <c r="C69" t="s">
        <v>149</v>
      </c>
      <c r="D69" t="s">
        <v>150</v>
      </c>
      <c r="E69" t="s">
        <v>51</v>
      </c>
      <c r="F69" t="s">
        <v>92</v>
      </c>
      <c r="G69" t="s">
        <v>258</v>
      </c>
      <c r="H69" t="s">
        <v>44</v>
      </c>
      <c r="I69" t="s">
        <v>35</v>
      </c>
      <c r="J69" t="s">
        <v>58</v>
      </c>
      <c r="K69" t="s">
        <v>28</v>
      </c>
      <c r="L69">
        <v>1</v>
      </c>
      <c r="M69">
        <v>13930</v>
      </c>
      <c r="N69">
        <v>16742</v>
      </c>
      <c r="O69">
        <v>0.1</v>
      </c>
      <c r="P69">
        <v>16742</v>
      </c>
      <c r="Q69">
        <v>2812</v>
      </c>
      <c r="R69">
        <v>2</v>
      </c>
    </row>
    <row r="70" spans="1:18" x14ac:dyDescent="0.25">
      <c r="A70" t="s">
        <v>270</v>
      </c>
      <c r="B70" t="s">
        <v>271</v>
      </c>
      <c r="C70" t="s">
        <v>96</v>
      </c>
      <c r="D70" t="s">
        <v>97</v>
      </c>
      <c r="E70" t="s">
        <v>51</v>
      </c>
      <c r="F70" t="s">
        <v>98</v>
      </c>
      <c r="G70" t="s">
        <v>272</v>
      </c>
      <c r="H70" t="s">
        <v>44</v>
      </c>
      <c r="I70" t="s">
        <v>45</v>
      </c>
      <c r="J70" t="s">
        <v>75</v>
      </c>
      <c r="K70" t="s">
        <v>54</v>
      </c>
      <c r="L70">
        <v>2</v>
      </c>
      <c r="M70">
        <v>12962</v>
      </c>
      <c r="N70">
        <v>16436</v>
      </c>
      <c r="O70">
        <v>0.1</v>
      </c>
      <c r="P70">
        <v>32872</v>
      </c>
      <c r="Q70">
        <v>6948</v>
      </c>
      <c r="R70">
        <v>5</v>
      </c>
    </row>
    <row r="71" spans="1:18" x14ac:dyDescent="0.25">
      <c r="A71" t="s">
        <v>273</v>
      </c>
      <c r="B71" t="s">
        <v>274</v>
      </c>
      <c r="C71" t="s">
        <v>77</v>
      </c>
      <c r="D71" t="s">
        <v>78</v>
      </c>
      <c r="E71" t="s">
        <v>64</v>
      </c>
      <c r="F71" t="s">
        <v>42</v>
      </c>
      <c r="G71" t="s">
        <v>275</v>
      </c>
      <c r="H71" t="s">
        <v>44</v>
      </c>
      <c r="I71" t="s">
        <v>26</v>
      </c>
      <c r="J71" t="s">
        <v>103</v>
      </c>
      <c r="K71" t="s">
        <v>54</v>
      </c>
      <c r="L71">
        <v>8</v>
      </c>
      <c r="M71">
        <v>11628</v>
      </c>
      <c r="N71">
        <v>14384</v>
      </c>
      <c r="O71">
        <v>0</v>
      </c>
      <c r="P71">
        <v>115072</v>
      </c>
      <c r="Q71">
        <v>22048</v>
      </c>
      <c r="R71">
        <v>1</v>
      </c>
    </row>
    <row r="72" spans="1:18" x14ac:dyDescent="0.25">
      <c r="A72" t="s">
        <v>276</v>
      </c>
      <c r="B72" t="s">
        <v>277</v>
      </c>
      <c r="C72" t="s">
        <v>278</v>
      </c>
      <c r="D72" t="s">
        <v>279</v>
      </c>
      <c r="E72" t="s">
        <v>64</v>
      </c>
      <c r="F72" t="s">
        <v>98</v>
      </c>
      <c r="G72" t="s">
        <v>280</v>
      </c>
      <c r="H72" t="s">
        <v>44</v>
      </c>
      <c r="I72" t="s">
        <v>45</v>
      </c>
      <c r="J72" t="s">
        <v>27</v>
      </c>
      <c r="K72" t="s">
        <v>36</v>
      </c>
      <c r="L72">
        <v>1</v>
      </c>
      <c r="M72">
        <v>4458</v>
      </c>
      <c r="N72">
        <v>7299</v>
      </c>
      <c r="O72">
        <v>0.04</v>
      </c>
      <c r="P72">
        <v>7299</v>
      </c>
      <c r="Q72">
        <v>2841</v>
      </c>
      <c r="R72">
        <v>2</v>
      </c>
    </row>
    <row r="73" spans="1:18" x14ac:dyDescent="0.25">
      <c r="A73" t="s">
        <v>281</v>
      </c>
      <c r="B73" t="s">
        <v>282</v>
      </c>
      <c r="C73" t="s">
        <v>117</v>
      </c>
      <c r="D73" t="s">
        <v>118</v>
      </c>
      <c r="E73" t="s">
        <v>41</v>
      </c>
      <c r="F73" t="s">
        <v>23</v>
      </c>
      <c r="G73" t="s">
        <v>283</v>
      </c>
      <c r="H73" t="s">
        <v>44</v>
      </c>
      <c r="I73" t="s">
        <v>35</v>
      </c>
      <c r="J73" t="s">
        <v>46</v>
      </c>
      <c r="K73" t="s">
        <v>59</v>
      </c>
      <c r="L73">
        <v>6</v>
      </c>
      <c r="M73">
        <v>11375</v>
      </c>
      <c r="N73">
        <v>13608</v>
      </c>
      <c r="O73">
        <v>0.04</v>
      </c>
      <c r="P73">
        <v>81648</v>
      </c>
      <c r="Q73">
        <v>13398</v>
      </c>
      <c r="R73">
        <v>1</v>
      </c>
    </row>
    <row r="74" spans="1:18" x14ac:dyDescent="0.25">
      <c r="A74" t="s">
        <v>80</v>
      </c>
      <c r="B74" t="s">
        <v>56</v>
      </c>
      <c r="C74" t="s">
        <v>77</v>
      </c>
      <c r="D74" t="s">
        <v>78</v>
      </c>
      <c r="E74" t="s">
        <v>64</v>
      </c>
      <c r="F74" t="s">
        <v>92</v>
      </c>
      <c r="G74" t="s">
        <v>284</v>
      </c>
      <c r="H74" t="s">
        <v>44</v>
      </c>
      <c r="I74" t="s">
        <v>26</v>
      </c>
      <c r="J74" t="s">
        <v>46</v>
      </c>
      <c r="K74" t="s">
        <v>36</v>
      </c>
      <c r="L74">
        <v>7</v>
      </c>
      <c r="M74">
        <v>8966</v>
      </c>
      <c r="N74">
        <v>13879</v>
      </c>
      <c r="O74">
        <v>0.02</v>
      </c>
      <c r="P74">
        <v>97153</v>
      </c>
      <c r="Q74">
        <v>34391</v>
      </c>
      <c r="R74">
        <v>3</v>
      </c>
    </row>
    <row r="75" spans="1:18" x14ac:dyDescent="0.25">
      <c r="A75" t="s">
        <v>285</v>
      </c>
      <c r="B75" t="s">
        <v>286</v>
      </c>
      <c r="C75" t="s">
        <v>77</v>
      </c>
      <c r="D75" t="s">
        <v>78</v>
      </c>
      <c r="E75" t="s">
        <v>64</v>
      </c>
      <c r="G75" t="s">
        <v>287</v>
      </c>
      <c r="H75" t="s">
        <v>44</v>
      </c>
      <c r="I75" t="s">
        <v>45</v>
      </c>
      <c r="J75" t="s">
        <v>58</v>
      </c>
      <c r="K75" t="s">
        <v>54</v>
      </c>
      <c r="L75">
        <v>7</v>
      </c>
      <c r="M75">
        <v>11223</v>
      </c>
      <c r="N75">
        <v>13773</v>
      </c>
      <c r="O75">
        <v>0.05</v>
      </c>
      <c r="P75">
        <v>96411</v>
      </c>
      <c r="Q75">
        <v>17850</v>
      </c>
      <c r="R75">
        <v>5</v>
      </c>
    </row>
    <row r="76" spans="1:18" x14ac:dyDescent="0.25">
      <c r="A76" t="s">
        <v>288</v>
      </c>
      <c r="B76" t="s">
        <v>289</v>
      </c>
      <c r="C76" t="s">
        <v>149</v>
      </c>
      <c r="D76" t="s">
        <v>150</v>
      </c>
      <c r="E76" t="s">
        <v>51</v>
      </c>
      <c r="F76" t="s">
        <v>42</v>
      </c>
      <c r="G76" t="s">
        <v>290</v>
      </c>
      <c r="H76" t="s">
        <v>25</v>
      </c>
      <c r="I76" t="s">
        <v>26</v>
      </c>
      <c r="J76" t="s">
        <v>120</v>
      </c>
      <c r="K76" t="s">
        <v>59</v>
      </c>
      <c r="L76">
        <v>7</v>
      </c>
      <c r="M76">
        <v>6664</v>
      </c>
      <c r="N76">
        <v>12108</v>
      </c>
      <c r="O76">
        <v>0</v>
      </c>
      <c r="P76">
        <v>84756</v>
      </c>
      <c r="Q76">
        <v>38108</v>
      </c>
      <c r="R76">
        <v>3</v>
      </c>
    </row>
    <row r="77" spans="1:18" x14ac:dyDescent="0.25">
      <c r="A77" t="s">
        <v>181</v>
      </c>
      <c r="B77" t="s">
        <v>291</v>
      </c>
      <c r="C77" t="s">
        <v>96</v>
      </c>
      <c r="D77" t="s">
        <v>97</v>
      </c>
      <c r="E77" t="s">
        <v>51</v>
      </c>
      <c r="G77" t="s">
        <v>292</v>
      </c>
      <c r="H77" t="s">
        <v>25</v>
      </c>
      <c r="I77" t="s">
        <v>45</v>
      </c>
      <c r="J77" t="s">
        <v>46</v>
      </c>
      <c r="K77" t="s">
        <v>54</v>
      </c>
      <c r="L77">
        <v>1</v>
      </c>
      <c r="M77">
        <v>8458</v>
      </c>
      <c r="N77">
        <v>12863</v>
      </c>
      <c r="O77">
        <v>0.04</v>
      </c>
      <c r="P77">
        <v>12863</v>
      </c>
      <c r="Q77">
        <v>4405</v>
      </c>
      <c r="R77">
        <v>4</v>
      </c>
    </row>
    <row r="78" spans="1:18" x14ac:dyDescent="0.25">
      <c r="A78" t="s">
        <v>293</v>
      </c>
      <c r="B78" t="s">
        <v>294</v>
      </c>
      <c r="C78" t="s">
        <v>241</v>
      </c>
      <c r="D78" t="s">
        <v>242</v>
      </c>
      <c r="E78" t="s">
        <v>22</v>
      </c>
      <c r="F78" t="s">
        <v>92</v>
      </c>
      <c r="G78" t="s">
        <v>295</v>
      </c>
      <c r="H78" t="s">
        <v>25</v>
      </c>
      <c r="I78" t="s">
        <v>35</v>
      </c>
      <c r="J78" t="s">
        <v>75</v>
      </c>
      <c r="K78" t="s">
        <v>54</v>
      </c>
      <c r="L78">
        <v>5</v>
      </c>
      <c r="M78">
        <v>4045</v>
      </c>
      <c r="N78">
        <v>11942</v>
      </c>
      <c r="O78">
        <v>0.02</v>
      </c>
      <c r="P78">
        <v>59710</v>
      </c>
      <c r="Q78">
        <v>39485</v>
      </c>
      <c r="R78">
        <v>5</v>
      </c>
    </row>
    <row r="79" spans="1:18" x14ac:dyDescent="0.25">
      <c r="A79" t="s">
        <v>296</v>
      </c>
      <c r="B79" t="s">
        <v>297</v>
      </c>
      <c r="C79" t="s">
        <v>149</v>
      </c>
      <c r="D79" t="s">
        <v>150</v>
      </c>
      <c r="E79" t="s">
        <v>51</v>
      </c>
      <c r="F79" t="s">
        <v>23</v>
      </c>
      <c r="G79" t="s">
        <v>298</v>
      </c>
      <c r="H79" t="s">
        <v>44</v>
      </c>
      <c r="I79" t="s">
        <v>35</v>
      </c>
      <c r="J79" t="s">
        <v>53</v>
      </c>
      <c r="K79" t="s">
        <v>59</v>
      </c>
      <c r="L79">
        <v>3</v>
      </c>
      <c r="M79">
        <v>12456</v>
      </c>
      <c r="N79">
        <v>13762</v>
      </c>
      <c r="O79">
        <v>0.02</v>
      </c>
      <c r="P79">
        <v>41286</v>
      </c>
      <c r="Q79">
        <v>3918</v>
      </c>
      <c r="R79">
        <v>4</v>
      </c>
    </row>
    <row r="80" spans="1:18" x14ac:dyDescent="0.25">
      <c r="A80" t="s">
        <v>147</v>
      </c>
      <c r="B80" t="s">
        <v>299</v>
      </c>
      <c r="C80" t="s">
        <v>96</v>
      </c>
      <c r="D80" t="s">
        <v>97</v>
      </c>
      <c r="E80" t="s">
        <v>51</v>
      </c>
      <c r="F80" t="s">
        <v>23</v>
      </c>
      <c r="G80" t="s">
        <v>300</v>
      </c>
      <c r="H80" t="s">
        <v>25</v>
      </c>
      <c r="I80" t="s">
        <v>35</v>
      </c>
      <c r="J80" t="s">
        <v>75</v>
      </c>
      <c r="K80" t="s">
        <v>36</v>
      </c>
      <c r="L80">
        <v>8</v>
      </c>
      <c r="M80">
        <v>14267</v>
      </c>
      <c r="N80">
        <v>17723</v>
      </c>
      <c r="O80">
        <v>0.1</v>
      </c>
      <c r="P80">
        <v>141784</v>
      </c>
      <c r="Q80">
        <v>27648</v>
      </c>
      <c r="R80">
        <v>4</v>
      </c>
    </row>
    <row r="81" spans="1:18" x14ac:dyDescent="0.25">
      <c r="A81" t="s">
        <v>301</v>
      </c>
      <c r="B81" t="s">
        <v>302</v>
      </c>
      <c r="C81" t="s">
        <v>278</v>
      </c>
      <c r="D81" t="s">
        <v>279</v>
      </c>
      <c r="E81" t="s">
        <v>64</v>
      </c>
      <c r="F81" t="s">
        <v>92</v>
      </c>
      <c r="G81" t="s">
        <v>303</v>
      </c>
      <c r="H81" t="s">
        <v>44</v>
      </c>
      <c r="I81" t="s">
        <v>45</v>
      </c>
      <c r="J81" t="s">
        <v>103</v>
      </c>
      <c r="K81" t="s">
        <v>36</v>
      </c>
      <c r="L81">
        <v>5</v>
      </c>
      <c r="M81">
        <v>1503</v>
      </c>
      <c r="N81">
        <v>8771</v>
      </c>
      <c r="O81">
        <v>0.05</v>
      </c>
      <c r="P81">
        <v>43855</v>
      </c>
      <c r="Q81">
        <v>36340</v>
      </c>
      <c r="R81">
        <v>2</v>
      </c>
    </row>
    <row r="82" spans="1:18" x14ac:dyDescent="0.25">
      <c r="A82" t="s">
        <v>189</v>
      </c>
      <c r="B82" t="s">
        <v>304</v>
      </c>
      <c r="C82" t="s">
        <v>39</v>
      </c>
      <c r="D82" t="s">
        <v>40</v>
      </c>
      <c r="E82" t="s">
        <v>41</v>
      </c>
      <c r="F82" t="s">
        <v>98</v>
      </c>
      <c r="G82" t="s">
        <v>305</v>
      </c>
      <c r="H82" t="s">
        <v>44</v>
      </c>
      <c r="I82" t="s">
        <v>26</v>
      </c>
      <c r="J82" t="s">
        <v>75</v>
      </c>
      <c r="K82" t="s">
        <v>59</v>
      </c>
      <c r="L82">
        <v>6</v>
      </c>
      <c r="M82">
        <v>3970</v>
      </c>
      <c r="N82">
        <v>11831</v>
      </c>
      <c r="O82">
        <v>0.1</v>
      </c>
      <c r="P82">
        <v>70986</v>
      </c>
      <c r="Q82">
        <v>47166</v>
      </c>
      <c r="R82">
        <v>4</v>
      </c>
    </row>
    <row r="83" spans="1:18" x14ac:dyDescent="0.25">
      <c r="A83" t="s">
        <v>47</v>
      </c>
      <c r="B83" t="s">
        <v>306</v>
      </c>
      <c r="C83" t="s">
        <v>82</v>
      </c>
      <c r="D83" t="s">
        <v>83</v>
      </c>
      <c r="E83" t="s">
        <v>51</v>
      </c>
      <c r="F83" t="s">
        <v>23</v>
      </c>
      <c r="G83" t="s">
        <v>307</v>
      </c>
      <c r="H83" t="s">
        <v>25</v>
      </c>
      <c r="I83" t="s">
        <v>35</v>
      </c>
      <c r="J83" t="s">
        <v>27</v>
      </c>
      <c r="K83" t="s">
        <v>36</v>
      </c>
      <c r="L83">
        <v>2</v>
      </c>
      <c r="M83">
        <v>5157</v>
      </c>
      <c r="N83">
        <v>10350</v>
      </c>
      <c r="O83">
        <v>0</v>
      </c>
      <c r="P83">
        <v>20700</v>
      </c>
      <c r="Q83">
        <v>10386</v>
      </c>
      <c r="R83">
        <v>2</v>
      </c>
    </row>
    <row r="84" spans="1:18" x14ac:dyDescent="0.25">
      <c r="A84" t="s">
        <v>189</v>
      </c>
      <c r="B84" t="s">
        <v>86</v>
      </c>
      <c r="C84" t="s">
        <v>141</v>
      </c>
      <c r="D84" t="s">
        <v>142</v>
      </c>
      <c r="E84" t="s">
        <v>51</v>
      </c>
      <c r="F84" t="s">
        <v>73</v>
      </c>
      <c r="G84" t="s">
        <v>308</v>
      </c>
      <c r="H84" t="s">
        <v>44</v>
      </c>
      <c r="I84" t="s">
        <v>26</v>
      </c>
      <c r="J84" t="s">
        <v>58</v>
      </c>
      <c r="K84" t="s">
        <v>54</v>
      </c>
      <c r="L84">
        <v>7</v>
      </c>
      <c r="M84">
        <v>10591</v>
      </c>
      <c r="N84">
        <v>12410</v>
      </c>
      <c r="O84">
        <v>0.1</v>
      </c>
      <c r="P84">
        <v>86870</v>
      </c>
      <c r="Q84">
        <v>12733</v>
      </c>
      <c r="R84">
        <v>1</v>
      </c>
    </row>
    <row r="85" spans="1:18" x14ac:dyDescent="0.25">
      <c r="A85" t="s">
        <v>309</v>
      </c>
      <c r="B85" t="s">
        <v>310</v>
      </c>
      <c r="C85" t="s">
        <v>117</v>
      </c>
      <c r="D85" t="s">
        <v>118</v>
      </c>
      <c r="E85" t="s">
        <v>41</v>
      </c>
      <c r="F85" t="s">
        <v>92</v>
      </c>
      <c r="G85" t="s">
        <v>311</v>
      </c>
      <c r="H85" t="s">
        <v>25</v>
      </c>
      <c r="I85" t="s">
        <v>35</v>
      </c>
      <c r="J85" t="s">
        <v>75</v>
      </c>
      <c r="K85" t="s">
        <v>28</v>
      </c>
      <c r="L85">
        <v>7</v>
      </c>
      <c r="M85">
        <v>11418</v>
      </c>
      <c r="N85">
        <v>14754</v>
      </c>
      <c r="O85">
        <v>0.05</v>
      </c>
      <c r="P85">
        <v>103278</v>
      </c>
      <c r="Q85">
        <v>23352</v>
      </c>
      <c r="R85">
        <v>1</v>
      </c>
    </row>
    <row r="86" spans="1:18" x14ac:dyDescent="0.25">
      <c r="A86" t="s">
        <v>312</v>
      </c>
      <c r="B86" t="s">
        <v>313</v>
      </c>
      <c r="C86" t="s">
        <v>141</v>
      </c>
      <c r="D86" t="s">
        <v>142</v>
      </c>
      <c r="E86" t="s">
        <v>51</v>
      </c>
      <c r="F86" t="s">
        <v>42</v>
      </c>
      <c r="G86" t="s">
        <v>213</v>
      </c>
      <c r="H86" t="s">
        <v>44</v>
      </c>
      <c r="I86" t="s">
        <v>26</v>
      </c>
      <c r="J86" t="s">
        <v>53</v>
      </c>
      <c r="K86" t="s">
        <v>54</v>
      </c>
      <c r="L86">
        <v>5</v>
      </c>
      <c r="M86">
        <v>8726</v>
      </c>
      <c r="N86">
        <v>10177</v>
      </c>
      <c r="O86">
        <v>0.02</v>
      </c>
      <c r="P86">
        <v>50885</v>
      </c>
      <c r="Q86">
        <v>7255</v>
      </c>
      <c r="R86">
        <v>1</v>
      </c>
    </row>
    <row r="87" spans="1:18" x14ac:dyDescent="0.25">
      <c r="A87" t="s">
        <v>314</v>
      </c>
      <c r="B87" t="s">
        <v>315</v>
      </c>
      <c r="C87" t="s">
        <v>278</v>
      </c>
      <c r="D87" t="s">
        <v>279</v>
      </c>
      <c r="E87" t="s">
        <v>64</v>
      </c>
      <c r="F87" t="s">
        <v>23</v>
      </c>
      <c r="G87" t="s">
        <v>316</v>
      </c>
      <c r="H87" t="s">
        <v>44</v>
      </c>
      <c r="I87" t="s">
        <v>26</v>
      </c>
      <c r="J87" t="s">
        <v>27</v>
      </c>
      <c r="K87" t="s">
        <v>59</v>
      </c>
      <c r="L87">
        <v>4</v>
      </c>
      <c r="M87">
        <v>7427</v>
      </c>
      <c r="N87">
        <v>10694</v>
      </c>
      <c r="O87">
        <v>0.05</v>
      </c>
      <c r="P87">
        <v>42776</v>
      </c>
      <c r="Q87">
        <v>13068</v>
      </c>
      <c r="R87">
        <v>2</v>
      </c>
    </row>
    <row r="88" spans="1:18" x14ac:dyDescent="0.25">
      <c r="A88" t="s">
        <v>317</v>
      </c>
      <c r="B88" t="s">
        <v>318</v>
      </c>
      <c r="C88" t="s">
        <v>117</v>
      </c>
      <c r="D88" t="s">
        <v>118</v>
      </c>
      <c r="E88" t="s">
        <v>41</v>
      </c>
      <c r="G88" t="s">
        <v>319</v>
      </c>
      <c r="H88" t="s">
        <v>25</v>
      </c>
      <c r="I88" t="s">
        <v>35</v>
      </c>
      <c r="J88" t="s">
        <v>103</v>
      </c>
      <c r="K88" t="s">
        <v>28</v>
      </c>
      <c r="L88">
        <v>3</v>
      </c>
      <c r="M88">
        <v>7269</v>
      </c>
      <c r="N88">
        <v>11885</v>
      </c>
      <c r="O88">
        <v>0.02</v>
      </c>
      <c r="P88">
        <v>35655</v>
      </c>
      <c r="Q88">
        <v>13848</v>
      </c>
      <c r="R88">
        <v>1</v>
      </c>
    </row>
    <row r="89" spans="1:18" x14ac:dyDescent="0.25">
      <c r="A89" t="s">
        <v>320</v>
      </c>
      <c r="B89" t="s">
        <v>321</v>
      </c>
      <c r="C89" t="s">
        <v>241</v>
      </c>
      <c r="D89" t="s">
        <v>242</v>
      </c>
      <c r="E89" t="s">
        <v>22</v>
      </c>
      <c r="F89" t="s">
        <v>92</v>
      </c>
      <c r="G89" t="s">
        <v>322</v>
      </c>
      <c r="H89" t="s">
        <v>44</v>
      </c>
      <c r="I89" t="s">
        <v>45</v>
      </c>
      <c r="J89" t="s">
        <v>46</v>
      </c>
      <c r="K89" t="s">
        <v>59</v>
      </c>
      <c r="L89">
        <v>2</v>
      </c>
      <c r="M89">
        <v>7540</v>
      </c>
      <c r="N89">
        <v>12287</v>
      </c>
      <c r="O89">
        <v>0</v>
      </c>
      <c r="P89">
        <v>24574</v>
      </c>
      <c r="Q89">
        <v>9494</v>
      </c>
    </row>
    <row r="90" spans="1:18" x14ac:dyDescent="0.25">
      <c r="A90" t="s">
        <v>317</v>
      </c>
      <c r="B90" t="s">
        <v>323</v>
      </c>
      <c r="C90" t="s">
        <v>87</v>
      </c>
      <c r="D90" t="s">
        <v>88</v>
      </c>
      <c r="E90" t="s">
        <v>33</v>
      </c>
      <c r="F90" t="s">
        <v>73</v>
      </c>
      <c r="G90" t="s">
        <v>324</v>
      </c>
      <c r="H90" t="s">
        <v>44</v>
      </c>
      <c r="I90" t="s">
        <v>35</v>
      </c>
      <c r="J90" t="s">
        <v>46</v>
      </c>
      <c r="K90" t="s">
        <v>54</v>
      </c>
      <c r="L90">
        <v>5</v>
      </c>
      <c r="M90">
        <v>8710</v>
      </c>
      <c r="N90">
        <v>12870</v>
      </c>
      <c r="O90">
        <v>0.1</v>
      </c>
      <c r="P90">
        <v>64350</v>
      </c>
      <c r="Q90">
        <v>20800</v>
      </c>
      <c r="R90">
        <v>4</v>
      </c>
    </row>
    <row r="91" spans="1:18" x14ac:dyDescent="0.25">
      <c r="A91" t="s">
        <v>325</v>
      </c>
      <c r="B91" t="s">
        <v>326</v>
      </c>
      <c r="C91" t="s">
        <v>241</v>
      </c>
      <c r="D91" t="s">
        <v>242</v>
      </c>
      <c r="E91" t="s">
        <v>22</v>
      </c>
      <c r="F91" t="s">
        <v>73</v>
      </c>
      <c r="G91" t="s">
        <v>211</v>
      </c>
      <c r="H91" t="s">
        <v>44</v>
      </c>
      <c r="I91" t="s">
        <v>35</v>
      </c>
      <c r="J91" t="s">
        <v>27</v>
      </c>
      <c r="K91" t="s">
        <v>36</v>
      </c>
      <c r="L91">
        <v>4</v>
      </c>
      <c r="M91">
        <v>13084</v>
      </c>
      <c r="N91">
        <v>14806</v>
      </c>
      <c r="O91">
        <v>0.02</v>
      </c>
      <c r="P91">
        <v>59224</v>
      </c>
      <c r="Q91">
        <v>6888</v>
      </c>
      <c r="R91">
        <v>3</v>
      </c>
    </row>
    <row r="92" spans="1:18" x14ac:dyDescent="0.25">
      <c r="A92" t="s">
        <v>327</v>
      </c>
      <c r="B92" t="s">
        <v>328</v>
      </c>
      <c r="C92" t="s">
        <v>39</v>
      </c>
      <c r="D92" t="s">
        <v>40</v>
      </c>
      <c r="E92" t="s">
        <v>41</v>
      </c>
      <c r="F92" t="s">
        <v>23</v>
      </c>
      <c r="G92" t="s">
        <v>329</v>
      </c>
      <c r="H92" t="s">
        <v>25</v>
      </c>
      <c r="I92" t="s">
        <v>26</v>
      </c>
      <c r="J92" t="s">
        <v>53</v>
      </c>
      <c r="K92" t="s">
        <v>54</v>
      </c>
      <c r="L92">
        <v>5</v>
      </c>
      <c r="M92">
        <v>1946</v>
      </c>
      <c r="N92">
        <v>2729</v>
      </c>
      <c r="O92">
        <v>0.02</v>
      </c>
      <c r="P92">
        <v>13645</v>
      </c>
      <c r="Q92">
        <v>3915</v>
      </c>
      <c r="R92">
        <v>2</v>
      </c>
    </row>
    <row r="93" spans="1:18" x14ac:dyDescent="0.25">
      <c r="A93" t="s">
        <v>330</v>
      </c>
      <c r="B93" t="s">
        <v>331</v>
      </c>
      <c r="C93" t="s">
        <v>149</v>
      </c>
      <c r="D93" t="s">
        <v>150</v>
      </c>
      <c r="E93" t="s">
        <v>51</v>
      </c>
      <c r="F93" t="s">
        <v>23</v>
      </c>
      <c r="G93" t="s">
        <v>332</v>
      </c>
      <c r="H93" t="s">
        <v>25</v>
      </c>
      <c r="I93" t="s">
        <v>35</v>
      </c>
      <c r="J93" t="s">
        <v>103</v>
      </c>
      <c r="K93" t="s">
        <v>28</v>
      </c>
      <c r="L93">
        <v>1</v>
      </c>
      <c r="M93">
        <v>1664</v>
      </c>
      <c r="N93">
        <v>5257</v>
      </c>
      <c r="O93">
        <v>0.02</v>
      </c>
      <c r="P93">
        <v>5257</v>
      </c>
      <c r="Q93">
        <v>3593</v>
      </c>
      <c r="R93">
        <v>1</v>
      </c>
    </row>
    <row r="94" spans="1:18" x14ac:dyDescent="0.25">
      <c r="A94" t="s">
        <v>333</v>
      </c>
      <c r="B94" t="s">
        <v>334</v>
      </c>
      <c r="C94" t="s">
        <v>77</v>
      </c>
      <c r="D94" t="s">
        <v>78</v>
      </c>
      <c r="E94" t="s">
        <v>64</v>
      </c>
      <c r="F94" t="s">
        <v>42</v>
      </c>
      <c r="G94" t="s">
        <v>335</v>
      </c>
      <c r="H94" t="s">
        <v>25</v>
      </c>
      <c r="I94" t="s">
        <v>35</v>
      </c>
      <c r="J94" t="s">
        <v>53</v>
      </c>
      <c r="K94" t="s">
        <v>36</v>
      </c>
      <c r="L94">
        <v>5</v>
      </c>
      <c r="M94">
        <v>13181</v>
      </c>
      <c r="N94">
        <v>16645</v>
      </c>
      <c r="O94">
        <v>0.1</v>
      </c>
      <c r="P94">
        <v>83225</v>
      </c>
      <c r="Q94">
        <v>17320</v>
      </c>
      <c r="R94">
        <v>4</v>
      </c>
    </row>
    <row r="95" spans="1:18" x14ac:dyDescent="0.25">
      <c r="A95" t="s">
        <v>336</v>
      </c>
      <c r="B95" t="s">
        <v>337</v>
      </c>
      <c r="C95" t="s">
        <v>149</v>
      </c>
      <c r="D95" t="s">
        <v>150</v>
      </c>
      <c r="E95" t="s">
        <v>51</v>
      </c>
      <c r="F95" t="s">
        <v>73</v>
      </c>
      <c r="G95" t="s">
        <v>338</v>
      </c>
      <c r="H95" t="s">
        <v>25</v>
      </c>
      <c r="I95" t="s">
        <v>26</v>
      </c>
      <c r="J95" t="s">
        <v>58</v>
      </c>
      <c r="K95" t="s">
        <v>36</v>
      </c>
      <c r="L95">
        <v>6</v>
      </c>
      <c r="M95">
        <v>6038</v>
      </c>
      <c r="N95">
        <v>7932</v>
      </c>
      <c r="O95">
        <v>0.04</v>
      </c>
      <c r="P95">
        <v>47592</v>
      </c>
      <c r="Q95">
        <v>11364</v>
      </c>
      <c r="R95">
        <v>2</v>
      </c>
    </row>
    <row r="96" spans="1:18" x14ac:dyDescent="0.25">
      <c r="A96" t="s">
        <v>309</v>
      </c>
      <c r="B96" t="s">
        <v>339</v>
      </c>
      <c r="C96" t="s">
        <v>20</v>
      </c>
      <c r="D96" t="s">
        <v>21</v>
      </c>
      <c r="E96" t="s">
        <v>22</v>
      </c>
      <c r="F96" t="s">
        <v>92</v>
      </c>
      <c r="G96" t="s">
        <v>340</v>
      </c>
      <c r="H96" t="s">
        <v>25</v>
      </c>
      <c r="I96" t="s">
        <v>26</v>
      </c>
      <c r="J96" t="s">
        <v>75</v>
      </c>
      <c r="K96" t="s">
        <v>54</v>
      </c>
      <c r="L96">
        <v>2</v>
      </c>
      <c r="M96">
        <v>11447</v>
      </c>
      <c r="N96">
        <v>14483</v>
      </c>
      <c r="O96">
        <v>0.04</v>
      </c>
      <c r="P96">
        <v>28966</v>
      </c>
      <c r="Q96">
        <v>6072</v>
      </c>
      <c r="R96">
        <v>2</v>
      </c>
    </row>
    <row r="97" spans="1:18" x14ac:dyDescent="0.25">
      <c r="A97" t="s">
        <v>341</v>
      </c>
      <c r="B97" t="s">
        <v>342</v>
      </c>
      <c r="C97" t="s">
        <v>82</v>
      </c>
      <c r="D97" t="s">
        <v>83</v>
      </c>
      <c r="E97" t="s">
        <v>51</v>
      </c>
      <c r="F97" t="s">
        <v>42</v>
      </c>
      <c r="G97" t="s">
        <v>343</v>
      </c>
      <c r="H97" t="s">
        <v>25</v>
      </c>
      <c r="I97" t="s">
        <v>26</v>
      </c>
      <c r="J97" t="s">
        <v>103</v>
      </c>
      <c r="K97" t="s">
        <v>59</v>
      </c>
      <c r="L97">
        <v>3</v>
      </c>
      <c r="M97">
        <v>12783</v>
      </c>
      <c r="N97">
        <v>20529</v>
      </c>
      <c r="O97">
        <v>0.02</v>
      </c>
      <c r="P97">
        <v>61587</v>
      </c>
      <c r="Q97">
        <v>23238</v>
      </c>
      <c r="R97">
        <v>4</v>
      </c>
    </row>
    <row r="98" spans="1:18" x14ac:dyDescent="0.25">
      <c r="A98" t="s">
        <v>344</v>
      </c>
      <c r="B98" t="s">
        <v>345</v>
      </c>
      <c r="C98" t="s">
        <v>106</v>
      </c>
      <c r="D98" t="s">
        <v>107</v>
      </c>
      <c r="E98" t="s">
        <v>41</v>
      </c>
      <c r="F98" t="s">
        <v>23</v>
      </c>
      <c r="G98" t="s">
        <v>346</v>
      </c>
      <c r="H98" t="s">
        <v>25</v>
      </c>
      <c r="I98" t="s">
        <v>45</v>
      </c>
      <c r="J98" t="s">
        <v>46</v>
      </c>
      <c r="K98" t="s">
        <v>28</v>
      </c>
      <c r="L98">
        <v>3</v>
      </c>
      <c r="M98">
        <v>10854</v>
      </c>
      <c r="N98">
        <v>12620</v>
      </c>
      <c r="O98">
        <v>0</v>
      </c>
      <c r="P98">
        <v>37860</v>
      </c>
      <c r="Q98">
        <v>5298</v>
      </c>
      <c r="R98">
        <v>3</v>
      </c>
    </row>
    <row r="99" spans="1:18" x14ac:dyDescent="0.25">
      <c r="A99" t="s">
        <v>301</v>
      </c>
      <c r="B99" t="s">
        <v>347</v>
      </c>
      <c r="C99" t="s">
        <v>20</v>
      </c>
      <c r="D99" t="s">
        <v>21</v>
      </c>
      <c r="E99" t="s">
        <v>22</v>
      </c>
      <c r="F99" t="s">
        <v>98</v>
      </c>
      <c r="G99" t="s">
        <v>348</v>
      </c>
      <c r="H99" t="s">
        <v>25</v>
      </c>
      <c r="I99" t="s">
        <v>45</v>
      </c>
      <c r="J99" t="s">
        <v>120</v>
      </c>
      <c r="K99" t="s">
        <v>54</v>
      </c>
      <c r="L99">
        <v>7</v>
      </c>
      <c r="M99">
        <v>14299</v>
      </c>
      <c r="N99">
        <v>19730</v>
      </c>
      <c r="O99">
        <v>0.05</v>
      </c>
      <c r="P99">
        <v>138110</v>
      </c>
      <c r="Q99">
        <v>38017</v>
      </c>
      <c r="R99">
        <v>4</v>
      </c>
    </row>
    <row r="100" spans="1:18" x14ac:dyDescent="0.25">
      <c r="A100" t="s">
        <v>349</v>
      </c>
      <c r="B100" t="s">
        <v>350</v>
      </c>
      <c r="C100" t="s">
        <v>31</v>
      </c>
      <c r="D100" t="s">
        <v>32</v>
      </c>
      <c r="E100" t="s">
        <v>33</v>
      </c>
      <c r="F100" t="s">
        <v>73</v>
      </c>
      <c r="G100" t="s">
        <v>351</v>
      </c>
      <c r="H100" t="s">
        <v>44</v>
      </c>
      <c r="I100" t="s">
        <v>35</v>
      </c>
      <c r="J100" t="s">
        <v>58</v>
      </c>
      <c r="K100" t="s">
        <v>36</v>
      </c>
      <c r="L100">
        <v>5</v>
      </c>
      <c r="M100">
        <v>14267</v>
      </c>
      <c r="N100">
        <v>19198</v>
      </c>
      <c r="O100">
        <v>0.1</v>
      </c>
      <c r="P100">
        <v>95990</v>
      </c>
      <c r="Q100">
        <v>24655</v>
      </c>
    </row>
    <row r="101" spans="1:18" x14ac:dyDescent="0.25">
      <c r="A101" t="s">
        <v>352</v>
      </c>
      <c r="B101" t="s">
        <v>353</v>
      </c>
      <c r="C101" t="s">
        <v>71</v>
      </c>
      <c r="D101" t="s">
        <v>72</v>
      </c>
      <c r="E101" t="s">
        <v>64</v>
      </c>
      <c r="F101" t="s">
        <v>42</v>
      </c>
      <c r="G101" t="s">
        <v>354</v>
      </c>
      <c r="H101" t="s">
        <v>25</v>
      </c>
      <c r="I101" t="s">
        <v>35</v>
      </c>
      <c r="J101" t="s">
        <v>27</v>
      </c>
      <c r="K101" t="s">
        <v>59</v>
      </c>
      <c r="L101">
        <v>7</v>
      </c>
      <c r="M101">
        <v>14806</v>
      </c>
      <c r="N101">
        <v>18873</v>
      </c>
      <c r="O101">
        <v>0.1</v>
      </c>
      <c r="P101">
        <v>132111</v>
      </c>
      <c r="Q101">
        <v>28469</v>
      </c>
      <c r="R101">
        <v>5</v>
      </c>
    </row>
    <row r="102" spans="1:18" x14ac:dyDescent="0.25">
      <c r="A102" t="s">
        <v>55</v>
      </c>
      <c r="B102" t="s">
        <v>355</v>
      </c>
      <c r="C102" t="s">
        <v>82</v>
      </c>
      <c r="D102" t="s">
        <v>83</v>
      </c>
      <c r="E102" t="s">
        <v>51</v>
      </c>
      <c r="F102" t="s">
        <v>73</v>
      </c>
      <c r="G102" t="s">
        <v>356</v>
      </c>
      <c r="H102" t="s">
        <v>44</v>
      </c>
      <c r="I102" t="s">
        <v>26</v>
      </c>
      <c r="J102" t="s">
        <v>27</v>
      </c>
      <c r="K102" t="s">
        <v>28</v>
      </c>
      <c r="L102">
        <v>7</v>
      </c>
      <c r="M102">
        <v>14868</v>
      </c>
      <c r="N102">
        <v>22024</v>
      </c>
      <c r="O102">
        <v>0.05</v>
      </c>
      <c r="P102">
        <v>154168</v>
      </c>
      <c r="Q102">
        <v>50092</v>
      </c>
      <c r="R102">
        <v>2</v>
      </c>
    </row>
    <row r="103" spans="1:18" x14ac:dyDescent="0.25">
      <c r="A103" t="s">
        <v>288</v>
      </c>
      <c r="B103" t="s">
        <v>357</v>
      </c>
      <c r="C103" t="s">
        <v>216</v>
      </c>
      <c r="D103" t="s">
        <v>217</v>
      </c>
      <c r="E103" t="s">
        <v>33</v>
      </c>
      <c r="F103" t="s">
        <v>42</v>
      </c>
      <c r="G103" t="s">
        <v>358</v>
      </c>
      <c r="H103" t="s">
        <v>44</v>
      </c>
      <c r="I103" t="s">
        <v>26</v>
      </c>
      <c r="J103" t="s">
        <v>58</v>
      </c>
      <c r="K103" t="s">
        <v>36</v>
      </c>
      <c r="L103">
        <v>2</v>
      </c>
      <c r="M103">
        <v>7457</v>
      </c>
      <c r="N103">
        <v>11534</v>
      </c>
      <c r="O103">
        <v>0.02</v>
      </c>
      <c r="P103">
        <v>23068</v>
      </c>
      <c r="Q103">
        <v>8154</v>
      </c>
      <c r="R103">
        <v>1</v>
      </c>
    </row>
    <row r="104" spans="1:18" x14ac:dyDescent="0.25">
      <c r="A104" t="s">
        <v>359</v>
      </c>
      <c r="B104" t="s">
        <v>360</v>
      </c>
      <c r="C104" t="s">
        <v>131</v>
      </c>
      <c r="D104" t="s">
        <v>132</v>
      </c>
      <c r="E104" t="s">
        <v>64</v>
      </c>
      <c r="F104" t="s">
        <v>73</v>
      </c>
      <c r="G104" t="s">
        <v>361</v>
      </c>
      <c r="H104" t="s">
        <v>44</v>
      </c>
      <c r="I104" t="s">
        <v>45</v>
      </c>
      <c r="J104" t="s">
        <v>75</v>
      </c>
      <c r="K104" t="s">
        <v>28</v>
      </c>
      <c r="L104">
        <v>3</v>
      </c>
      <c r="M104">
        <v>3471</v>
      </c>
      <c r="N104">
        <v>9502</v>
      </c>
      <c r="O104">
        <v>0.04</v>
      </c>
      <c r="P104">
        <v>28506</v>
      </c>
      <c r="Q104">
        <v>18093</v>
      </c>
      <c r="R104">
        <v>1</v>
      </c>
    </row>
    <row r="105" spans="1:18" x14ac:dyDescent="0.25">
      <c r="A105" t="s">
        <v>362</v>
      </c>
      <c r="B105" t="s">
        <v>363</v>
      </c>
      <c r="C105" t="s">
        <v>149</v>
      </c>
      <c r="D105" t="s">
        <v>150</v>
      </c>
      <c r="E105" t="s">
        <v>51</v>
      </c>
      <c r="F105" t="s">
        <v>92</v>
      </c>
      <c r="G105" t="s">
        <v>172</v>
      </c>
      <c r="H105" t="s">
        <v>25</v>
      </c>
      <c r="I105" t="s">
        <v>35</v>
      </c>
      <c r="J105" t="s">
        <v>58</v>
      </c>
      <c r="K105" t="s">
        <v>28</v>
      </c>
      <c r="L105">
        <v>4</v>
      </c>
      <c r="M105">
        <v>5450</v>
      </c>
      <c r="N105">
        <v>9306</v>
      </c>
      <c r="O105">
        <v>0.05</v>
      </c>
      <c r="P105">
        <v>37224</v>
      </c>
      <c r="Q105">
        <v>15424</v>
      </c>
      <c r="R105">
        <v>2</v>
      </c>
    </row>
    <row r="106" spans="1:18" x14ac:dyDescent="0.25">
      <c r="A106" t="s">
        <v>364</v>
      </c>
      <c r="B106" t="s">
        <v>365</v>
      </c>
      <c r="C106" t="s">
        <v>131</v>
      </c>
      <c r="D106" t="s">
        <v>132</v>
      </c>
      <c r="E106" t="s">
        <v>64</v>
      </c>
      <c r="F106" t="s">
        <v>42</v>
      </c>
      <c r="G106" t="s">
        <v>220</v>
      </c>
      <c r="H106" t="s">
        <v>25</v>
      </c>
      <c r="I106" t="s">
        <v>45</v>
      </c>
      <c r="J106" t="s">
        <v>46</v>
      </c>
      <c r="K106" t="s">
        <v>28</v>
      </c>
      <c r="L106">
        <v>4</v>
      </c>
      <c r="M106">
        <v>2709</v>
      </c>
      <c r="N106">
        <v>6187</v>
      </c>
      <c r="O106">
        <v>0.02</v>
      </c>
      <c r="P106">
        <v>24748</v>
      </c>
      <c r="Q106">
        <v>13912</v>
      </c>
      <c r="R106">
        <v>5</v>
      </c>
    </row>
    <row r="107" spans="1:18" x14ac:dyDescent="0.25">
      <c r="A107" t="s">
        <v>181</v>
      </c>
      <c r="B107" t="s">
        <v>366</v>
      </c>
      <c r="C107" t="s">
        <v>216</v>
      </c>
      <c r="D107" t="s">
        <v>217</v>
      </c>
      <c r="E107" t="s">
        <v>33</v>
      </c>
      <c r="F107" t="s">
        <v>73</v>
      </c>
      <c r="G107" t="s">
        <v>358</v>
      </c>
      <c r="H107" t="s">
        <v>25</v>
      </c>
      <c r="I107" t="s">
        <v>35</v>
      </c>
      <c r="J107" t="s">
        <v>75</v>
      </c>
      <c r="K107" t="s">
        <v>59</v>
      </c>
      <c r="L107">
        <v>2</v>
      </c>
      <c r="M107">
        <v>11787</v>
      </c>
      <c r="N107">
        <v>18021</v>
      </c>
      <c r="O107">
        <v>0.04</v>
      </c>
      <c r="P107">
        <v>36042</v>
      </c>
      <c r="Q107">
        <v>12468</v>
      </c>
      <c r="R107">
        <v>2</v>
      </c>
    </row>
    <row r="108" spans="1:18" x14ac:dyDescent="0.25">
      <c r="A108" t="s">
        <v>367</v>
      </c>
      <c r="B108" t="s">
        <v>368</v>
      </c>
      <c r="C108" t="s">
        <v>149</v>
      </c>
      <c r="D108" t="s">
        <v>150</v>
      </c>
      <c r="E108" t="s">
        <v>51</v>
      </c>
      <c r="F108" t="s">
        <v>23</v>
      </c>
      <c r="G108" t="s">
        <v>369</v>
      </c>
      <c r="H108" t="s">
        <v>44</v>
      </c>
      <c r="I108" t="s">
        <v>26</v>
      </c>
      <c r="J108" t="s">
        <v>27</v>
      </c>
      <c r="K108" t="s">
        <v>59</v>
      </c>
      <c r="L108">
        <v>3</v>
      </c>
      <c r="M108">
        <v>3257</v>
      </c>
      <c r="N108">
        <v>9132</v>
      </c>
      <c r="O108">
        <v>0.1</v>
      </c>
      <c r="P108">
        <v>27396</v>
      </c>
      <c r="Q108">
        <v>17625</v>
      </c>
      <c r="R108">
        <v>5</v>
      </c>
    </row>
    <row r="109" spans="1:18" x14ac:dyDescent="0.25">
      <c r="A109" t="s">
        <v>265</v>
      </c>
      <c r="B109" t="s">
        <v>370</v>
      </c>
      <c r="C109" t="s">
        <v>278</v>
      </c>
      <c r="D109" t="s">
        <v>279</v>
      </c>
      <c r="E109" t="s">
        <v>64</v>
      </c>
      <c r="G109" t="s">
        <v>371</v>
      </c>
      <c r="H109" t="s">
        <v>25</v>
      </c>
      <c r="I109" t="s">
        <v>35</v>
      </c>
      <c r="J109" t="s">
        <v>103</v>
      </c>
      <c r="K109" t="s">
        <v>36</v>
      </c>
      <c r="L109">
        <v>2</v>
      </c>
      <c r="M109">
        <v>6340</v>
      </c>
      <c r="N109">
        <v>13483</v>
      </c>
      <c r="O109">
        <v>0.04</v>
      </c>
      <c r="P109">
        <v>26966</v>
      </c>
      <c r="Q109">
        <v>14286</v>
      </c>
      <c r="R109">
        <v>2</v>
      </c>
    </row>
    <row r="110" spans="1:18" x14ac:dyDescent="0.25">
      <c r="A110" t="s">
        <v>372</v>
      </c>
      <c r="B110" t="s">
        <v>373</v>
      </c>
      <c r="C110" t="s">
        <v>141</v>
      </c>
      <c r="D110" t="s">
        <v>142</v>
      </c>
      <c r="E110" t="s">
        <v>51</v>
      </c>
      <c r="F110" t="s">
        <v>92</v>
      </c>
      <c r="G110" t="s">
        <v>374</v>
      </c>
      <c r="H110" t="s">
        <v>44</v>
      </c>
      <c r="I110" t="s">
        <v>35</v>
      </c>
      <c r="J110" t="s">
        <v>27</v>
      </c>
      <c r="K110" t="s">
        <v>36</v>
      </c>
      <c r="L110">
        <v>3</v>
      </c>
      <c r="M110">
        <v>2076</v>
      </c>
      <c r="N110">
        <v>3914</v>
      </c>
      <c r="O110">
        <v>0</v>
      </c>
      <c r="P110">
        <v>11742</v>
      </c>
      <c r="Q110">
        <v>5514</v>
      </c>
      <c r="R110">
        <v>5</v>
      </c>
    </row>
    <row r="111" spans="1:18" x14ac:dyDescent="0.25">
      <c r="A111" t="s">
        <v>375</v>
      </c>
      <c r="B111" t="s">
        <v>376</v>
      </c>
      <c r="C111" t="s">
        <v>62</v>
      </c>
      <c r="D111" t="s">
        <v>63</v>
      </c>
      <c r="E111" t="s">
        <v>64</v>
      </c>
      <c r="G111" t="s">
        <v>377</v>
      </c>
      <c r="H111" t="s">
        <v>25</v>
      </c>
      <c r="I111" t="s">
        <v>35</v>
      </c>
      <c r="J111" t="s">
        <v>53</v>
      </c>
      <c r="K111" t="s">
        <v>59</v>
      </c>
      <c r="L111">
        <v>5</v>
      </c>
      <c r="M111">
        <v>3104</v>
      </c>
      <c r="N111">
        <v>5764</v>
      </c>
      <c r="O111">
        <v>0.04</v>
      </c>
      <c r="P111">
        <v>28820</v>
      </c>
      <c r="Q111">
        <v>13300</v>
      </c>
      <c r="R111">
        <v>2</v>
      </c>
    </row>
    <row r="112" spans="1:18" x14ac:dyDescent="0.25">
      <c r="A112" t="s">
        <v>378</v>
      </c>
      <c r="B112" t="s">
        <v>379</v>
      </c>
      <c r="C112" t="s">
        <v>216</v>
      </c>
      <c r="D112" t="s">
        <v>217</v>
      </c>
      <c r="E112" t="s">
        <v>33</v>
      </c>
      <c r="F112" t="s">
        <v>98</v>
      </c>
      <c r="G112" t="s">
        <v>380</v>
      </c>
      <c r="H112" t="s">
        <v>44</v>
      </c>
      <c r="I112" t="s">
        <v>35</v>
      </c>
      <c r="J112" t="s">
        <v>46</v>
      </c>
      <c r="K112" t="s">
        <v>54</v>
      </c>
      <c r="L112">
        <v>4</v>
      </c>
      <c r="M112">
        <v>10338</v>
      </c>
      <c r="N112">
        <v>16436</v>
      </c>
      <c r="O112">
        <v>0.1</v>
      </c>
      <c r="P112">
        <v>65744</v>
      </c>
      <c r="Q112">
        <v>24392</v>
      </c>
      <c r="R112">
        <v>3</v>
      </c>
    </row>
    <row r="113" spans="1:18" x14ac:dyDescent="0.25">
      <c r="A113" t="s">
        <v>104</v>
      </c>
      <c r="B113" t="s">
        <v>360</v>
      </c>
      <c r="C113" t="s">
        <v>77</v>
      </c>
      <c r="D113" t="s">
        <v>78</v>
      </c>
      <c r="E113" t="s">
        <v>64</v>
      </c>
      <c r="F113" t="s">
        <v>23</v>
      </c>
      <c r="G113" t="s">
        <v>381</v>
      </c>
      <c r="H113" t="s">
        <v>25</v>
      </c>
      <c r="I113" t="s">
        <v>45</v>
      </c>
      <c r="J113" t="s">
        <v>46</v>
      </c>
      <c r="K113" t="s">
        <v>28</v>
      </c>
      <c r="L113">
        <v>2</v>
      </c>
      <c r="M113">
        <v>11920</v>
      </c>
      <c r="N113">
        <v>17014</v>
      </c>
      <c r="O113">
        <v>0.1</v>
      </c>
      <c r="P113">
        <v>34028</v>
      </c>
      <c r="Q113">
        <v>10188</v>
      </c>
      <c r="R113">
        <v>5</v>
      </c>
    </row>
    <row r="114" spans="1:18" x14ac:dyDescent="0.25">
      <c r="A114" t="s">
        <v>382</v>
      </c>
      <c r="B114" t="s">
        <v>383</v>
      </c>
      <c r="C114" t="s">
        <v>131</v>
      </c>
      <c r="D114" t="s">
        <v>132</v>
      </c>
      <c r="E114" t="s">
        <v>64</v>
      </c>
      <c r="F114" t="s">
        <v>98</v>
      </c>
      <c r="G114" t="s">
        <v>384</v>
      </c>
      <c r="H114" t="s">
        <v>44</v>
      </c>
      <c r="I114" t="s">
        <v>26</v>
      </c>
      <c r="J114" t="s">
        <v>27</v>
      </c>
      <c r="K114" t="s">
        <v>59</v>
      </c>
      <c r="L114">
        <v>8</v>
      </c>
      <c r="M114">
        <v>3121</v>
      </c>
      <c r="N114">
        <v>10536</v>
      </c>
      <c r="O114">
        <v>0</v>
      </c>
      <c r="P114">
        <v>84288</v>
      </c>
      <c r="Q114">
        <v>59320</v>
      </c>
    </row>
    <row r="115" spans="1:18" x14ac:dyDescent="0.25">
      <c r="A115" t="s">
        <v>158</v>
      </c>
      <c r="B115" t="s">
        <v>385</v>
      </c>
      <c r="C115" t="s">
        <v>278</v>
      </c>
      <c r="D115" t="s">
        <v>279</v>
      </c>
      <c r="E115" t="s">
        <v>64</v>
      </c>
      <c r="F115" t="s">
        <v>92</v>
      </c>
      <c r="G115" t="s">
        <v>386</v>
      </c>
      <c r="H115" t="s">
        <v>44</v>
      </c>
      <c r="I115" t="s">
        <v>26</v>
      </c>
      <c r="J115" t="s">
        <v>46</v>
      </c>
      <c r="K115" t="s">
        <v>28</v>
      </c>
      <c r="L115">
        <v>8</v>
      </c>
      <c r="M115">
        <v>3113</v>
      </c>
      <c r="N115">
        <v>6641</v>
      </c>
      <c r="O115">
        <v>0.1</v>
      </c>
      <c r="P115">
        <v>53128</v>
      </c>
      <c r="Q115">
        <v>28224</v>
      </c>
      <c r="R115">
        <v>3</v>
      </c>
    </row>
    <row r="116" spans="1:18" x14ac:dyDescent="0.25">
      <c r="A116" t="s">
        <v>362</v>
      </c>
      <c r="B116" t="s">
        <v>347</v>
      </c>
      <c r="C116" t="s">
        <v>49</v>
      </c>
      <c r="D116" t="s">
        <v>50</v>
      </c>
      <c r="E116" t="s">
        <v>51</v>
      </c>
      <c r="F116" t="s">
        <v>73</v>
      </c>
      <c r="G116" t="s">
        <v>387</v>
      </c>
      <c r="H116" t="s">
        <v>44</v>
      </c>
      <c r="I116" t="s">
        <v>45</v>
      </c>
      <c r="J116" t="s">
        <v>53</v>
      </c>
      <c r="K116" t="s">
        <v>59</v>
      </c>
      <c r="L116">
        <v>3</v>
      </c>
      <c r="M116">
        <v>7143</v>
      </c>
      <c r="N116">
        <v>14247</v>
      </c>
      <c r="O116">
        <v>0.02</v>
      </c>
      <c r="P116">
        <v>42741</v>
      </c>
      <c r="Q116">
        <v>21312</v>
      </c>
      <c r="R116">
        <v>5</v>
      </c>
    </row>
    <row r="117" spans="1:18" x14ac:dyDescent="0.25">
      <c r="A117" t="s">
        <v>203</v>
      </c>
      <c r="B117" t="s">
        <v>388</v>
      </c>
      <c r="C117" t="s">
        <v>71</v>
      </c>
      <c r="D117" t="s">
        <v>72</v>
      </c>
      <c r="E117" t="s">
        <v>64</v>
      </c>
      <c r="F117" t="s">
        <v>92</v>
      </c>
      <c r="G117" t="s">
        <v>389</v>
      </c>
      <c r="H117" t="s">
        <v>25</v>
      </c>
      <c r="I117" t="s">
        <v>45</v>
      </c>
      <c r="J117" t="s">
        <v>103</v>
      </c>
      <c r="K117" t="s">
        <v>36</v>
      </c>
      <c r="L117">
        <v>2</v>
      </c>
      <c r="M117">
        <v>10802</v>
      </c>
      <c r="N117">
        <v>12892</v>
      </c>
      <c r="O117">
        <v>0</v>
      </c>
      <c r="P117">
        <v>25784</v>
      </c>
      <c r="Q117">
        <v>4180</v>
      </c>
    </row>
    <row r="118" spans="1:18" x14ac:dyDescent="0.25">
      <c r="A118" t="s">
        <v>390</v>
      </c>
      <c r="B118" t="s">
        <v>391</v>
      </c>
      <c r="C118" t="s">
        <v>241</v>
      </c>
      <c r="D118" t="s">
        <v>242</v>
      </c>
      <c r="E118" t="s">
        <v>22</v>
      </c>
      <c r="F118" t="s">
        <v>23</v>
      </c>
      <c r="G118" t="s">
        <v>392</v>
      </c>
      <c r="H118" t="s">
        <v>25</v>
      </c>
      <c r="I118" t="s">
        <v>26</v>
      </c>
      <c r="J118" t="s">
        <v>53</v>
      </c>
      <c r="K118" t="s">
        <v>54</v>
      </c>
      <c r="L118">
        <v>4</v>
      </c>
      <c r="M118">
        <v>9902</v>
      </c>
      <c r="N118">
        <v>11675</v>
      </c>
      <c r="O118">
        <v>0.04</v>
      </c>
      <c r="P118">
        <v>46700</v>
      </c>
      <c r="Q118">
        <v>7092</v>
      </c>
      <c r="R118">
        <v>2</v>
      </c>
    </row>
    <row r="119" spans="1:18" x14ac:dyDescent="0.25">
      <c r="A119" t="s">
        <v>393</v>
      </c>
      <c r="B119" t="s">
        <v>394</v>
      </c>
      <c r="C119" t="s">
        <v>241</v>
      </c>
      <c r="D119" t="s">
        <v>242</v>
      </c>
      <c r="E119" t="s">
        <v>22</v>
      </c>
      <c r="F119" t="s">
        <v>23</v>
      </c>
      <c r="G119" t="s">
        <v>395</v>
      </c>
      <c r="H119" t="s">
        <v>44</v>
      </c>
      <c r="I119" t="s">
        <v>45</v>
      </c>
      <c r="J119" t="s">
        <v>58</v>
      </c>
      <c r="K119" t="s">
        <v>28</v>
      </c>
      <c r="L119">
        <v>6</v>
      </c>
      <c r="M119">
        <v>7426</v>
      </c>
      <c r="N119">
        <v>9526</v>
      </c>
      <c r="O119">
        <v>0.05</v>
      </c>
      <c r="P119">
        <v>57156</v>
      </c>
      <c r="Q119">
        <v>12600</v>
      </c>
      <c r="R119">
        <v>2</v>
      </c>
    </row>
    <row r="120" spans="1:18" x14ac:dyDescent="0.25">
      <c r="A120" t="s">
        <v>375</v>
      </c>
      <c r="B120" t="s">
        <v>396</v>
      </c>
      <c r="C120" t="s">
        <v>71</v>
      </c>
      <c r="D120" t="s">
        <v>72</v>
      </c>
      <c r="E120" t="s">
        <v>64</v>
      </c>
      <c r="F120" t="s">
        <v>23</v>
      </c>
      <c r="G120" t="s">
        <v>397</v>
      </c>
      <c r="H120" t="s">
        <v>25</v>
      </c>
      <c r="I120" t="s">
        <v>45</v>
      </c>
      <c r="J120" t="s">
        <v>120</v>
      </c>
      <c r="K120" t="s">
        <v>28</v>
      </c>
      <c r="L120">
        <v>6</v>
      </c>
      <c r="M120">
        <v>4072</v>
      </c>
      <c r="N120">
        <v>8580</v>
      </c>
      <c r="O120">
        <v>0</v>
      </c>
      <c r="P120">
        <v>51480</v>
      </c>
      <c r="Q120">
        <v>27048</v>
      </c>
      <c r="R120">
        <v>1</v>
      </c>
    </row>
    <row r="121" spans="1:18" x14ac:dyDescent="0.25">
      <c r="A121" t="s">
        <v>259</v>
      </c>
      <c r="B121" t="s">
        <v>398</v>
      </c>
      <c r="C121" t="s">
        <v>77</v>
      </c>
      <c r="D121" t="s">
        <v>78</v>
      </c>
      <c r="E121" t="s">
        <v>64</v>
      </c>
      <c r="F121" t="s">
        <v>73</v>
      </c>
      <c r="G121" t="s">
        <v>340</v>
      </c>
      <c r="H121" t="s">
        <v>44</v>
      </c>
      <c r="I121" t="s">
        <v>26</v>
      </c>
      <c r="J121" t="s">
        <v>46</v>
      </c>
      <c r="K121" t="s">
        <v>28</v>
      </c>
      <c r="L121">
        <v>6</v>
      </c>
      <c r="M121">
        <v>1106</v>
      </c>
      <c r="N121">
        <v>8379</v>
      </c>
      <c r="O121">
        <v>0.04</v>
      </c>
      <c r="P121">
        <v>50274</v>
      </c>
      <c r="Q121">
        <v>43638</v>
      </c>
      <c r="R121">
        <v>1</v>
      </c>
    </row>
    <row r="122" spans="1:18" x14ac:dyDescent="0.25">
      <c r="A122" t="s">
        <v>209</v>
      </c>
      <c r="B122" t="s">
        <v>399</v>
      </c>
      <c r="C122" t="s">
        <v>87</v>
      </c>
      <c r="D122" t="s">
        <v>88</v>
      </c>
      <c r="E122" t="s">
        <v>33</v>
      </c>
      <c r="F122" t="s">
        <v>42</v>
      </c>
      <c r="G122" t="s">
        <v>400</v>
      </c>
      <c r="H122" t="s">
        <v>25</v>
      </c>
      <c r="I122" t="s">
        <v>45</v>
      </c>
      <c r="J122" t="s">
        <v>120</v>
      </c>
      <c r="K122" t="s">
        <v>28</v>
      </c>
      <c r="L122">
        <v>4</v>
      </c>
      <c r="M122">
        <v>6070</v>
      </c>
      <c r="N122">
        <v>10527</v>
      </c>
      <c r="O122">
        <v>0</v>
      </c>
      <c r="P122">
        <v>42108</v>
      </c>
      <c r="Q122">
        <v>17828</v>
      </c>
      <c r="R122">
        <v>2</v>
      </c>
    </row>
    <row r="123" spans="1:18" x14ac:dyDescent="0.25">
      <c r="A123" t="s">
        <v>214</v>
      </c>
      <c r="B123" t="s">
        <v>401</v>
      </c>
      <c r="C123" t="s">
        <v>20</v>
      </c>
      <c r="D123" t="s">
        <v>21</v>
      </c>
      <c r="E123" t="s">
        <v>22</v>
      </c>
      <c r="F123" t="s">
        <v>98</v>
      </c>
      <c r="G123" t="s">
        <v>402</v>
      </c>
      <c r="H123" t="s">
        <v>44</v>
      </c>
      <c r="I123" t="s">
        <v>45</v>
      </c>
      <c r="J123" t="s">
        <v>46</v>
      </c>
      <c r="K123" t="s">
        <v>36</v>
      </c>
      <c r="L123">
        <v>7</v>
      </c>
      <c r="M123">
        <v>6688</v>
      </c>
      <c r="N123">
        <v>13459</v>
      </c>
      <c r="O123">
        <v>0.02</v>
      </c>
      <c r="P123">
        <v>94213</v>
      </c>
      <c r="Q123">
        <v>47397</v>
      </c>
      <c r="R123">
        <v>5</v>
      </c>
    </row>
    <row r="124" spans="1:18" x14ac:dyDescent="0.25">
      <c r="A124" t="s">
        <v>270</v>
      </c>
      <c r="B124" t="s">
        <v>403</v>
      </c>
      <c r="C124" t="s">
        <v>62</v>
      </c>
      <c r="D124" t="s">
        <v>63</v>
      </c>
      <c r="E124" t="s">
        <v>64</v>
      </c>
      <c r="F124" t="s">
        <v>23</v>
      </c>
      <c r="G124" t="s">
        <v>84</v>
      </c>
      <c r="H124" t="s">
        <v>25</v>
      </c>
      <c r="I124" t="s">
        <v>35</v>
      </c>
      <c r="J124" t="s">
        <v>53</v>
      </c>
      <c r="K124" t="s">
        <v>54</v>
      </c>
      <c r="L124">
        <v>5</v>
      </c>
      <c r="M124">
        <v>14634</v>
      </c>
      <c r="N124">
        <v>17653</v>
      </c>
      <c r="O124">
        <v>0.05</v>
      </c>
      <c r="P124">
        <v>88265</v>
      </c>
      <c r="Q124">
        <v>15095</v>
      </c>
      <c r="R124">
        <v>2</v>
      </c>
    </row>
    <row r="125" spans="1:18" x14ac:dyDescent="0.25">
      <c r="A125" t="s">
        <v>186</v>
      </c>
      <c r="B125" t="s">
        <v>404</v>
      </c>
      <c r="C125" t="s">
        <v>71</v>
      </c>
      <c r="D125" t="s">
        <v>72</v>
      </c>
      <c r="E125" t="s">
        <v>64</v>
      </c>
      <c r="F125" t="s">
        <v>92</v>
      </c>
      <c r="G125" t="s">
        <v>119</v>
      </c>
      <c r="H125" t="s">
        <v>44</v>
      </c>
      <c r="I125" t="s">
        <v>45</v>
      </c>
      <c r="J125" t="s">
        <v>53</v>
      </c>
      <c r="K125" t="s">
        <v>59</v>
      </c>
      <c r="L125">
        <v>8</v>
      </c>
      <c r="M125">
        <v>9798</v>
      </c>
      <c r="N125">
        <v>13880</v>
      </c>
      <c r="O125">
        <v>0.05</v>
      </c>
      <c r="P125">
        <v>111040</v>
      </c>
      <c r="Q125">
        <v>32656</v>
      </c>
      <c r="R125">
        <v>3</v>
      </c>
    </row>
    <row r="126" spans="1:18" x14ac:dyDescent="0.25">
      <c r="A126" t="s">
        <v>139</v>
      </c>
      <c r="B126" t="s">
        <v>405</v>
      </c>
      <c r="C126" t="s">
        <v>106</v>
      </c>
      <c r="D126" t="s">
        <v>107</v>
      </c>
      <c r="E126" t="s">
        <v>41</v>
      </c>
      <c r="F126" t="s">
        <v>92</v>
      </c>
      <c r="G126" t="s">
        <v>406</v>
      </c>
      <c r="H126" t="s">
        <v>25</v>
      </c>
      <c r="I126" t="s">
        <v>45</v>
      </c>
      <c r="J126" t="s">
        <v>120</v>
      </c>
      <c r="K126" t="s">
        <v>28</v>
      </c>
      <c r="L126">
        <v>8</v>
      </c>
      <c r="M126">
        <v>14557</v>
      </c>
      <c r="N126">
        <v>21424</v>
      </c>
      <c r="O126">
        <v>0.02</v>
      </c>
      <c r="P126">
        <v>171392</v>
      </c>
      <c r="Q126">
        <v>54936</v>
      </c>
      <c r="R126">
        <v>5</v>
      </c>
    </row>
    <row r="127" spans="1:18" x14ac:dyDescent="0.25">
      <c r="A127" t="s">
        <v>123</v>
      </c>
      <c r="B127" t="s">
        <v>407</v>
      </c>
      <c r="C127" t="s">
        <v>106</v>
      </c>
      <c r="D127" t="s">
        <v>107</v>
      </c>
      <c r="E127" t="s">
        <v>41</v>
      </c>
      <c r="G127" t="s">
        <v>408</v>
      </c>
      <c r="H127" t="s">
        <v>44</v>
      </c>
      <c r="I127" t="s">
        <v>26</v>
      </c>
      <c r="J127" t="s">
        <v>53</v>
      </c>
      <c r="K127" t="s">
        <v>28</v>
      </c>
      <c r="L127">
        <v>3</v>
      </c>
      <c r="M127">
        <v>9416</v>
      </c>
      <c r="N127">
        <v>13032</v>
      </c>
      <c r="O127">
        <v>0</v>
      </c>
      <c r="P127">
        <v>39096</v>
      </c>
      <c r="Q127">
        <v>10848</v>
      </c>
      <c r="R127">
        <v>3</v>
      </c>
    </row>
    <row r="128" spans="1:18" x14ac:dyDescent="0.25">
      <c r="A128" t="s">
        <v>409</v>
      </c>
      <c r="B128" t="s">
        <v>410</v>
      </c>
      <c r="C128" t="s">
        <v>20</v>
      </c>
      <c r="D128" t="s">
        <v>21</v>
      </c>
      <c r="E128" t="s">
        <v>22</v>
      </c>
      <c r="F128" t="s">
        <v>23</v>
      </c>
      <c r="G128" t="s">
        <v>411</v>
      </c>
      <c r="H128" t="s">
        <v>44</v>
      </c>
      <c r="I128" t="s">
        <v>26</v>
      </c>
      <c r="J128" t="s">
        <v>58</v>
      </c>
      <c r="K128" t="s">
        <v>36</v>
      </c>
      <c r="L128">
        <v>4</v>
      </c>
      <c r="M128">
        <v>3685</v>
      </c>
      <c r="N128">
        <v>5905</v>
      </c>
      <c r="O128">
        <v>0.02</v>
      </c>
      <c r="P128">
        <v>23620</v>
      </c>
      <c r="Q128">
        <v>8880</v>
      </c>
    </row>
    <row r="129" spans="1:18" x14ac:dyDescent="0.25">
      <c r="A129" t="s">
        <v>412</v>
      </c>
      <c r="B129" t="s">
        <v>413</v>
      </c>
      <c r="C129" t="s">
        <v>77</v>
      </c>
      <c r="D129" t="s">
        <v>78</v>
      </c>
      <c r="E129" t="s">
        <v>64</v>
      </c>
      <c r="F129" t="s">
        <v>92</v>
      </c>
      <c r="G129" t="s">
        <v>295</v>
      </c>
      <c r="H129" t="s">
        <v>44</v>
      </c>
      <c r="I129" t="s">
        <v>45</v>
      </c>
      <c r="J129" t="s">
        <v>27</v>
      </c>
      <c r="K129" t="s">
        <v>36</v>
      </c>
      <c r="L129">
        <v>1</v>
      </c>
      <c r="M129">
        <v>2405</v>
      </c>
      <c r="N129">
        <v>9986</v>
      </c>
      <c r="O129">
        <v>0.05</v>
      </c>
      <c r="P129">
        <v>9986</v>
      </c>
      <c r="Q129">
        <v>7581</v>
      </c>
      <c r="R129">
        <v>4</v>
      </c>
    </row>
    <row r="130" spans="1:18" x14ac:dyDescent="0.25">
      <c r="A130" t="s">
        <v>325</v>
      </c>
      <c r="B130" t="s">
        <v>414</v>
      </c>
      <c r="C130" t="s">
        <v>71</v>
      </c>
      <c r="D130" t="s">
        <v>72</v>
      </c>
      <c r="E130" t="s">
        <v>64</v>
      </c>
      <c r="F130" t="s">
        <v>23</v>
      </c>
      <c r="G130" t="s">
        <v>415</v>
      </c>
      <c r="H130" t="s">
        <v>25</v>
      </c>
      <c r="I130" t="s">
        <v>35</v>
      </c>
      <c r="J130" t="s">
        <v>46</v>
      </c>
      <c r="K130" t="s">
        <v>54</v>
      </c>
      <c r="L130">
        <v>7</v>
      </c>
      <c r="M130">
        <v>8542</v>
      </c>
      <c r="N130">
        <v>14759</v>
      </c>
      <c r="O130">
        <v>0.1</v>
      </c>
      <c r="P130">
        <v>103313</v>
      </c>
      <c r="Q130">
        <v>43519</v>
      </c>
      <c r="R130">
        <v>2</v>
      </c>
    </row>
    <row r="131" spans="1:18" x14ac:dyDescent="0.25">
      <c r="A131" t="s">
        <v>416</v>
      </c>
      <c r="B131" t="s">
        <v>417</v>
      </c>
      <c r="C131" t="s">
        <v>149</v>
      </c>
      <c r="D131" t="s">
        <v>150</v>
      </c>
      <c r="E131" t="s">
        <v>51</v>
      </c>
      <c r="F131" t="s">
        <v>73</v>
      </c>
      <c r="G131" t="s">
        <v>418</v>
      </c>
      <c r="H131" t="s">
        <v>25</v>
      </c>
      <c r="I131" t="s">
        <v>26</v>
      </c>
      <c r="J131" t="s">
        <v>103</v>
      </c>
      <c r="K131" t="s">
        <v>28</v>
      </c>
      <c r="L131">
        <v>4</v>
      </c>
      <c r="M131">
        <v>9552</v>
      </c>
      <c r="N131">
        <v>13060</v>
      </c>
      <c r="O131">
        <v>0.04</v>
      </c>
      <c r="P131">
        <v>52240</v>
      </c>
      <c r="Q131">
        <v>14032</v>
      </c>
      <c r="R131">
        <v>2</v>
      </c>
    </row>
    <row r="132" spans="1:18" x14ac:dyDescent="0.25">
      <c r="A132" t="s">
        <v>419</v>
      </c>
      <c r="B132" t="s">
        <v>420</v>
      </c>
      <c r="C132" t="s">
        <v>216</v>
      </c>
      <c r="D132" t="s">
        <v>217</v>
      </c>
      <c r="E132" t="s">
        <v>33</v>
      </c>
      <c r="G132" t="s">
        <v>421</v>
      </c>
      <c r="H132" t="s">
        <v>25</v>
      </c>
      <c r="I132" t="s">
        <v>26</v>
      </c>
      <c r="J132" t="s">
        <v>27</v>
      </c>
      <c r="K132" t="s">
        <v>36</v>
      </c>
      <c r="L132">
        <v>5</v>
      </c>
      <c r="M132">
        <v>10562</v>
      </c>
      <c r="N132">
        <v>12184</v>
      </c>
      <c r="O132">
        <v>0.02</v>
      </c>
      <c r="P132">
        <v>60920</v>
      </c>
      <c r="Q132">
        <v>8110</v>
      </c>
      <c r="R132">
        <v>1</v>
      </c>
    </row>
    <row r="133" spans="1:18" x14ac:dyDescent="0.25">
      <c r="A133" t="s">
        <v>167</v>
      </c>
      <c r="B133" t="s">
        <v>422</v>
      </c>
      <c r="C133" t="s">
        <v>49</v>
      </c>
      <c r="D133" t="s">
        <v>50</v>
      </c>
      <c r="E133" t="s">
        <v>51</v>
      </c>
      <c r="F133" t="s">
        <v>92</v>
      </c>
      <c r="G133" t="s">
        <v>423</v>
      </c>
      <c r="H133" t="s">
        <v>25</v>
      </c>
      <c r="I133" t="s">
        <v>26</v>
      </c>
      <c r="J133" t="s">
        <v>103</v>
      </c>
      <c r="K133" t="s">
        <v>36</v>
      </c>
      <c r="L133">
        <v>3</v>
      </c>
      <c r="M133">
        <v>10231</v>
      </c>
      <c r="N133">
        <v>13823</v>
      </c>
      <c r="O133">
        <v>0.05</v>
      </c>
      <c r="P133">
        <v>41469</v>
      </c>
      <c r="Q133">
        <v>10776</v>
      </c>
      <c r="R133">
        <v>4</v>
      </c>
    </row>
    <row r="134" spans="1:18" x14ac:dyDescent="0.25">
      <c r="A134" t="s">
        <v>424</v>
      </c>
      <c r="B134" t="s">
        <v>425</v>
      </c>
      <c r="C134" t="s">
        <v>241</v>
      </c>
      <c r="D134" t="s">
        <v>242</v>
      </c>
      <c r="E134" t="s">
        <v>22</v>
      </c>
      <c r="G134" t="s">
        <v>426</v>
      </c>
      <c r="H134" t="s">
        <v>25</v>
      </c>
      <c r="I134" t="s">
        <v>26</v>
      </c>
      <c r="J134" t="s">
        <v>75</v>
      </c>
      <c r="K134" t="s">
        <v>54</v>
      </c>
      <c r="L134">
        <v>7</v>
      </c>
      <c r="M134">
        <v>9329</v>
      </c>
      <c r="N134">
        <v>10779</v>
      </c>
      <c r="O134">
        <v>0.04</v>
      </c>
      <c r="P134">
        <v>75453</v>
      </c>
      <c r="Q134">
        <v>10150</v>
      </c>
      <c r="R134">
        <v>3</v>
      </c>
    </row>
    <row r="135" spans="1:18" x14ac:dyDescent="0.25">
      <c r="A135" t="s">
        <v>427</v>
      </c>
      <c r="B135" t="s">
        <v>428</v>
      </c>
      <c r="C135" t="s">
        <v>278</v>
      </c>
      <c r="D135" t="s">
        <v>279</v>
      </c>
      <c r="E135" t="s">
        <v>64</v>
      </c>
      <c r="F135" t="s">
        <v>23</v>
      </c>
      <c r="G135" t="s">
        <v>429</v>
      </c>
      <c r="H135" t="s">
        <v>25</v>
      </c>
      <c r="I135" t="s">
        <v>45</v>
      </c>
      <c r="J135" t="s">
        <v>46</v>
      </c>
      <c r="K135" t="s">
        <v>54</v>
      </c>
      <c r="L135">
        <v>2</v>
      </c>
      <c r="M135">
        <v>10028</v>
      </c>
      <c r="N135">
        <v>12614</v>
      </c>
      <c r="O135">
        <v>0.04</v>
      </c>
      <c r="P135">
        <v>25228</v>
      </c>
      <c r="Q135">
        <v>5172</v>
      </c>
      <c r="R135">
        <v>2</v>
      </c>
    </row>
    <row r="136" spans="1:18" x14ac:dyDescent="0.25">
      <c r="A136" t="s">
        <v>189</v>
      </c>
      <c r="B136" t="s">
        <v>291</v>
      </c>
      <c r="C136" t="s">
        <v>106</v>
      </c>
      <c r="D136" t="s">
        <v>107</v>
      </c>
      <c r="E136" t="s">
        <v>41</v>
      </c>
      <c r="F136" t="s">
        <v>42</v>
      </c>
      <c r="G136" t="s">
        <v>430</v>
      </c>
      <c r="H136" t="s">
        <v>44</v>
      </c>
      <c r="I136" t="s">
        <v>35</v>
      </c>
      <c r="J136" t="s">
        <v>103</v>
      </c>
      <c r="K136" t="s">
        <v>54</v>
      </c>
      <c r="L136">
        <v>4</v>
      </c>
      <c r="M136">
        <v>9880</v>
      </c>
      <c r="N136">
        <v>11452</v>
      </c>
      <c r="O136">
        <v>0.02</v>
      </c>
      <c r="P136">
        <v>45808</v>
      </c>
      <c r="Q136">
        <v>6288</v>
      </c>
    </row>
    <row r="137" spans="1:18" x14ac:dyDescent="0.25">
      <c r="A137" t="s">
        <v>431</v>
      </c>
      <c r="B137" t="s">
        <v>432</v>
      </c>
      <c r="C137" t="s">
        <v>71</v>
      </c>
      <c r="D137" t="s">
        <v>72</v>
      </c>
      <c r="E137" t="s">
        <v>64</v>
      </c>
      <c r="F137" t="s">
        <v>92</v>
      </c>
      <c r="G137" t="s">
        <v>433</v>
      </c>
      <c r="H137" t="s">
        <v>44</v>
      </c>
      <c r="I137" t="s">
        <v>35</v>
      </c>
      <c r="J137" t="s">
        <v>120</v>
      </c>
      <c r="K137" t="s">
        <v>36</v>
      </c>
      <c r="L137">
        <v>1</v>
      </c>
      <c r="M137">
        <v>10464</v>
      </c>
      <c r="N137">
        <v>15907</v>
      </c>
      <c r="O137">
        <v>0.04</v>
      </c>
      <c r="P137">
        <v>15907</v>
      </c>
      <c r="Q137">
        <v>5443</v>
      </c>
      <c r="R137">
        <v>1</v>
      </c>
    </row>
    <row r="138" spans="1:18" x14ac:dyDescent="0.25">
      <c r="A138" t="s">
        <v>434</v>
      </c>
      <c r="B138" t="s">
        <v>435</v>
      </c>
      <c r="C138" t="s">
        <v>62</v>
      </c>
      <c r="D138" t="s">
        <v>63</v>
      </c>
      <c r="E138" t="s">
        <v>64</v>
      </c>
      <c r="F138" t="s">
        <v>73</v>
      </c>
      <c r="G138" t="s">
        <v>436</v>
      </c>
      <c r="H138" t="s">
        <v>25</v>
      </c>
      <c r="I138" t="s">
        <v>35</v>
      </c>
      <c r="J138" t="s">
        <v>46</v>
      </c>
      <c r="K138" t="s">
        <v>59</v>
      </c>
      <c r="L138">
        <v>8</v>
      </c>
      <c r="M138">
        <v>4632</v>
      </c>
      <c r="N138">
        <v>6847</v>
      </c>
      <c r="O138">
        <v>0.02</v>
      </c>
      <c r="P138">
        <v>54776</v>
      </c>
      <c r="Q138">
        <v>17720</v>
      </c>
    </row>
    <row r="139" spans="1:18" x14ac:dyDescent="0.25">
      <c r="A139" t="s">
        <v>100</v>
      </c>
      <c r="B139" t="s">
        <v>437</v>
      </c>
      <c r="C139" t="s">
        <v>106</v>
      </c>
      <c r="D139" t="s">
        <v>107</v>
      </c>
      <c r="E139" t="s">
        <v>41</v>
      </c>
      <c r="F139" t="s">
        <v>73</v>
      </c>
      <c r="G139" t="s">
        <v>438</v>
      </c>
      <c r="H139" t="s">
        <v>25</v>
      </c>
      <c r="I139" t="s">
        <v>35</v>
      </c>
      <c r="J139" t="s">
        <v>120</v>
      </c>
      <c r="K139" t="s">
        <v>36</v>
      </c>
      <c r="L139">
        <v>6</v>
      </c>
      <c r="M139">
        <v>3629</v>
      </c>
      <c r="N139">
        <v>6247</v>
      </c>
      <c r="O139">
        <v>0.1</v>
      </c>
      <c r="P139">
        <v>37482</v>
      </c>
      <c r="Q139">
        <v>15708</v>
      </c>
      <c r="R139">
        <v>3</v>
      </c>
    </row>
    <row r="140" spans="1:18" x14ac:dyDescent="0.25">
      <c r="A140" t="s">
        <v>439</v>
      </c>
      <c r="B140" t="s">
        <v>440</v>
      </c>
      <c r="C140" t="s">
        <v>31</v>
      </c>
      <c r="D140" t="s">
        <v>32</v>
      </c>
      <c r="E140" t="s">
        <v>33</v>
      </c>
      <c r="G140" t="s">
        <v>441</v>
      </c>
      <c r="H140" t="s">
        <v>44</v>
      </c>
      <c r="I140" t="s">
        <v>35</v>
      </c>
      <c r="J140" t="s">
        <v>53</v>
      </c>
      <c r="K140" t="s">
        <v>59</v>
      </c>
      <c r="L140">
        <v>8</v>
      </c>
      <c r="M140">
        <v>8002</v>
      </c>
      <c r="N140">
        <v>9672</v>
      </c>
      <c r="O140">
        <v>0</v>
      </c>
      <c r="P140">
        <v>77376</v>
      </c>
      <c r="Q140">
        <v>13360</v>
      </c>
      <c r="R140">
        <v>2</v>
      </c>
    </row>
    <row r="141" spans="1:18" x14ac:dyDescent="0.25">
      <c r="A141" t="s">
        <v>317</v>
      </c>
      <c r="B141" t="s">
        <v>442</v>
      </c>
      <c r="C141" t="s">
        <v>77</v>
      </c>
      <c r="D141" t="s">
        <v>78</v>
      </c>
      <c r="E141" t="s">
        <v>64</v>
      </c>
      <c r="F141" t="s">
        <v>98</v>
      </c>
      <c r="G141" t="s">
        <v>443</v>
      </c>
      <c r="H141" t="s">
        <v>25</v>
      </c>
      <c r="I141" t="s">
        <v>26</v>
      </c>
      <c r="J141" t="s">
        <v>58</v>
      </c>
      <c r="K141" t="s">
        <v>28</v>
      </c>
      <c r="L141">
        <v>2</v>
      </c>
      <c r="M141">
        <v>14226</v>
      </c>
      <c r="N141">
        <v>18831</v>
      </c>
      <c r="O141">
        <v>0.02</v>
      </c>
      <c r="P141">
        <v>37662</v>
      </c>
      <c r="Q141">
        <v>9210</v>
      </c>
      <c r="R141">
        <v>2</v>
      </c>
    </row>
    <row r="142" spans="1:18" x14ac:dyDescent="0.25">
      <c r="A142" t="s">
        <v>444</v>
      </c>
      <c r="B142" t="s">
        <v>445</v>
      </c>
      <c r="C142" t="s">
        <v>106</v>
      </c>
      <c r="D142" t="s">
        <v>107</v>
      </c>
      <c r="E142" t="s">
        <v>41</v>
      </c>
      <c r="G142" t="s">
        <v>446</v>
      </c>
      <c r="H142" t="s">
        <v>44</v>
      </c>
      <c r="I142" t="s">
        <v>45</v>
      </c>
      <c r="J142" t="s">
        <v>75</v>
      </c>
      <c r="K142" t="s">
        <v>59</v>
      </c>
      <c r="L142">
        <v>5</v>
      </c>
      <c r="M142">
        <v>7819</v>
      </c>
      <c r="N142">
        <v>15521</v>
      </c>
      <c r="O142">
        <v>0.04</v>
      </c>
      <c r="P142">
        <v>77605</v>
      </c>
      <c r="Q142">
        <v>38510</v>
      </c>
      <c r="R142">
        <v>5</v>
      </c>
    </row>
    <row r="143" spans="1:18" x14ac:dyDescent="0.25">
      <c r="A143" t="s">
        <v>447</v>
      </c>
      <c r="B143" t="s">
        <v>448</v>
      </c>
      <c r="C143" t="s">
        <v>87</v>
      </c>
      <c r="D143" t="s">
        <v>88</v>
      </c>
      <c r="E143" t="s">
        <v>33</v>
      </c>
      <c r="F143" t="s">
        <v>42</v>
      </c>
      <c r="G143" t="s">
        <v>449</v>
      </c>
      <c r="H143" t="s">
        <v>25</v>
      </c>
      <c r="I143" t="s">
        <v>45</v>
      </c>
      <c r="J143" t="s">
        <v>46</v>
      </c>
      <c r="K143" t="s">
        <v>59</v>
      </c>
      <c r="L143">
        <v>4</v>
      </c>
      <c r="M143">
        <v>10651</v>
      </c>
      <c r="N143">
        <v>13764</v>
      </c>
      <c r="O143">
        <v>0.05</v>
      </c>
      <c r="P143">
        <v>55056</v>
      </c>
      <c r="Q143">
        <v>12452</v>
      </c>
      <c r="R143">
        <v>3</v>
      </c>
    </row>
    <row r="144" spans="1:18" x14ac:dyDescent="0.25">
      <c r="A144" t="s">
        <v>450</v>
      </c>
      <c r="B144" t="s">
        <v>451</v>
      </c>
      <c r="C144" t="s">
        <v>106</v>
      </c>
      <c r="D144" t="s">
        <v>107</v>
      </c>
      <c r="E144" t="s">
        <v>41</v>
      </c>
      <c r="F144" t="s">
        <v>42</v>
      </c>
      <c r="G144" t="s">
        <v>452</v>
      </c>
      <c r="H144" t="s">
        <v>44</v>
      </c>
      <c r="I144" t="s">
        <v>26</v>
      </c>
      <c r="J144" t="s">
        <v>53</v>
      </c>
      <c r="K144" t="s">
        <v>54</v>
      </c>
      <c r="L144">
        <v>8</v>
      </c>
      <c r="M144">
        <v>2823</v>
      </c>
      <c r="N144">
        <v>9977</v>
      </c>
      <c r="O144">
        <v>0.1</v>
      </c>
      <c r="P144">
        <v>79816</v>
      </c>
      <c r="Q144">
        <v>57232</v>
      </c>
      <c r="R144">
        <v>3</v>
      </c>
    </row>
    <row r="145" spans="1:18" x14ac:dyDescent="0.25">
      <c r="A145" t="s">
        <v>320</v>
      </c>
      <c r="B145" t="s">
        <v>453</v>
      </c>
      <c r="C145" t="s">
        <v>131</v>
      </c>
      <c r="D145" t="s">
        <v>132</v>
      </c>
      <c r="E145" t="s">
        <v>64</v>
      </c>
      <c r="F145" t="s">
        <v>92</v>
      </c>
      <c r="G145" t="s">
        <v>454</v>
      </c>
      <c r="H145" t="s">
        <v>25</v>
      </c>
      <c r="I145" t="s">
        <v>45</v>
      </c>
      <c r="J145" t="s">
        <v>46</v>
      </c>
      <c r="K145" t="s">
        <v>28</v>
      </c>
      <c r="L145">
        <v>1</v>
      </c>
      <c r="M145">
        <v>14237</v>
      </c>
      <c r="N145">
        <v>18207</v>
      </c>
      <c r="O145">
        <v>0.1</v>
      </c>
      <c r="P145">
        <v>18207</v>
      </c>
      <c r="Q145">
        <v>3970</v>
      </c>
      <c r="R145">
        <v>2</v>
      </c>
    </row>
    <row r="146" spans="1:18" x14ac:dyDescent="0.25">
      <c r="A146" t="s">
        <v>230</v>
      </c>
      <c r="B146" t="s">
        <v>455</v>
      </c>
      <c r="C146" t="s">
        <v>141</v>
      </c>
      <c r="D146" t="s">
        <v>142</v>
      </c>
      <c r="E146" t="s">
        <v>51</v>
      </c>
      <c r="G146" t="s">
        <v>456</v>
      </c>
      <c r="H146" t="s">
        <v>44</v>
      </c>
      <c r="I146" t="s">
        <v>35</v>
      </c>
      <c r="J146" t="s">
        <v>120</v>
      </c>
      <c r="K146" t="s">
        <v>28</v>
      </c>
      <c r="L146">
        <v>3</v>
      </c>
      <c r="M146">
        <v>7108</v>
      </c>
      <c r="N146">
        <v>10070</v>
      </c>
      <c r="O146">
        <v>0.02</v>
      </c>
      <c r="P146">
        <v>30210</v>
      </c>
      <c r="Q146">
        <v>8886</v>
      </c>
    </row>
    <row r="147" spans="1:18" x14ac:dyDescent="0.25">
      <c r="A147" t="s">
        <v>457</v>
      </c>
      <c r="B147" t="s">
        <v>458</v>
      </c>
      <c r="C147" t="s">
        <v>149</v>
      </c>
      <c r="D147" t="s">
        <v>150</v>
      </c>
      <c r="E147" t="s">
        <v>51</v>
      </c>
      <c r="F147" t="s">
        <v>98</v>
      </c>
      <c r="G147" t="s">
        <v>459</v>
      </c>
      <c r="H147" t="s">
        <v>44</v>
      </c>
      <c r="I147" t="s">
        <v>35</v>
      </c>
      <c r="J147" t="s">
        <v>53</v>
      </c>
      <c r="K147" t="s">
        <v>59</v>
      </c>
      <c r="L147">
        <v>8</v>
      </c>
      <c r="M147">
        <v>11874</v>
      </c>
      <c r="N147">
        <v>19654</v>
      </c>
      <c r="O147">
        <v>0.1</v>
      </c>
      <c r="P147">
        <v>157232</v>
      </c>
      <c r="Q147">
        <v>62240</v>
      </c>
      <c r="R147">
        <v>3</v>
      </c>
    </row>
    <row r="148" spans="1:18" x14ac:dyDescent="0.25">
      <c r="A148" t="s">
        <v>460</v>
      </c>
      <c r="B148" t="s">
        <v>461</v>
      </c>
      <c r="C148" t="s">
        <v>216</v>
      </c>
      <c r="D148" t="s">
        <v>217</v>
      </c>
      <c r="E148" t="s">
        <v>33</v>
      </c>
      <c r="F148" t="s">
        <v>92</v>
      </c>
      <c r="G148" t="s">
        <v>462</v>
      </c>
      <c r="H148" t="s">
        <v>25</v>
      </c>
      <c r="I148" t="s">
        <v>45</v>
      </c>
      <c r="J148" t="s">
        <v>58</v>
      </c>
      <c r="K148" t="s">
        <v>28</v>
      </c>
      <c r="L148">
        <v>6</v>
      </c>
      <c r="M148">
        <v>10155</v>
      </c>
      <c r="N148">
        <v>14180</v>
      </c>
      <c r="O148">
        <v>0.02</v>
      </c>
      <c r="P148">
        <v>85080</v>
      </c>
      <c r="Q148">
        <v>24150</v>
      </c>
      <c r="R148">
        <v>5</v>
      </c>
    </row>
    <row r="149" spans="1:18" x14ac:dyDescent="0.25">
      <c r="A149" t="s">
        <v>463</v>
      </c>
      <c r="B149" t="s">
        <v>464</v>
      </c>
      <c r="C149" t="s">
        <v>39</v>
      </c>
      <c r="D149" t="s">
        <v>40</v>
      </c>
      <c r="E149" t="s">
        <v>41</v>
      </c>
      <c r="F149" t="s">
        <v>23</v>
      </c>
      <c r="G149" t="s">
        <v>354</v>
      </c>
      <c r="H149" t="s">
        <v>44</v>
      </c>
      <c r="I149" t="s">
        <v>26</v>
      </c>
      <c r="J149" t="s">
        <v>120</v>
      </c>
      <c r="K149" t="s">
        <v>59</v>
      </c>
      <c r="L149">
        <v>6</v>
      </c>
      <c r="M149">
        <v>13611</v>
      </c>
      <c r="N149">
        <v>17207</v>
      </c>
      <c r="O149">
        <v>0.1</v>
      </c>
      <c r="P149">
        <v>103242</v>
      </c>
      <c r="Q149">
        <v>21576</v>
      </c>
    </row>
    <row r="150" spans="1:18" x14ac:dyDescent="0.25">
      <c r="A150" t="s">
        <v>463</v>
      </c>
      <c r="B150" t="s">
        <v>465</v>
      </c>
      <c r="C150" t="s">
        <v>141</v>
      </c>
      <c r="D150" t="s">
        <v>142</v>
      </c>
      <c r="E150" t="s">
        <v>51</v>
      </c>
      <c r="F150" t="s">
        <v>92</v>
      </c>
      <c r="G150" t="s">
        <v>466</v>
      </c>
      <c r="H150" t="s">
        <v>25</v>
      </c>
      <c r="I150" t="s">
        <v>26</v>
      </c>
      <c r="J150" t="s">
        <v>120</v>
      </c>
      <c r="K150" t="s">
        <v>54</v>
      </c>
      <c r="L150">
        <v>6</v>
      </c>
      <c r="M150">
        <v>13844</v>
      </c>
      <c r="N150">
        <v>19389</v>
      </c>
      <c r="O150">
        <v>0</v>
      </c>
      <c r="P150">
        <v>116334</v>
      </c>
      <c r="Q150">
        <v>33270</v>
      </c>
      <c r="R150">
        <v>2</v>
      </c>
    </row>
    <row r="151" spans="1:18" x14ac:dyDescent="0.25">
      <c r="A151" t="s">
        <v>139</v>
      </c>
      <c r="B151" t="s">
        <v>467</v>
      </c>
      <c r="C151" t="s">
        <v>278</v>
      </c>
      <c r="D151" t="s">
        <v>279</v>
      </c>
      <c r="E151" t="s">
        <v>64</v>
      </c>
      <c r="F151" t="s">
        <v>23</v>
      </c>
      <c r="G151" t="s">
        <v>468</v>
      </c>
      <c r="H151" t="s">
        <v>25</v>
      </c>
      <c r="I151" t="s">
        <v>26</v>
      </c>
      <c r="J151" t="s">
        <v>53</v>
      </c>
      <c r="K151" t="s">
        <v>59</v>
      </c>
      <c r="L151">
        <v>8</v>
      </c>
      <c r="M151">
        <v>11467</v>
      </c>
      <c r="N151">
        <v>15185</v>
      </c>
      <c r="O151">
        <v>0</v>
      </c>
      <c r="P151">
        <v>121480</v>
      </c>
      <c r="Q151">
        <v>29744</v>
      </c>
      <c r="R151">
        <v>2</v>
      </c>
    </row>
    <row r="152" spans="1:18" x14ac:dyDescent="0.25">
      <c r="A152" t="s">
        <v>469</v>
      </c>
      <c r="B152" t="s">
        <v>379</v>
      </c>
      <c r="C152" t="s">
        <v>216</v>
      </c>
      <c r="D152" t="s">
        <v>217</v>
      </c>
      <c r="E152" t="s">
        <v>33</v>
      </c>
      <c r="F152" t="s">
        <v>23</v>
      </c>
      <c r="G152" t="s">
        <v>470</v>
      </c>
      <c r="H152" t="s">
        <v>25</v>
      </c>
      <c r="I152" t="s">
        <v>26</v>
      </c>
      <c r="J152" t="s">
        <v>53</v>
      </c>
      <c r="K152" t="s">
        <v>36</v>
      </c>
      <c r="L152">
        <v>4</v>
      </c>
      <c r="M152">
        <v>2015</v>
      </c>
      <c r="N152">
        <v>6120</v>
      </c>
      <c r="O152">
        <v>0.04</v>
      </c>
      <c r="P152">
        <v>24480</v>
      </c>
      <c r="Q152">
        <v>16420</v>
      </c>
      <c r="R152">
        <v>4</v>
      </c>
    </row>
    <row r="153" spans="1:18" x14ac:dyDescent="0.25">
      <c r="A153" t="s">
        <v>471</v>
      </c>
      <c r="B153" t="s">
        <v>472</v>
      </c>
      <c r="C153" t="s">
        <v>96</v>
      </c>
      <c r="D153" t="s">
        <v>97</v>
      </c>
      <c r="E153" t="s">
        <v>51</v>
      </c>
      <c r="G153" t="s">
        <v>473</v>
      </c>
      <c r="H153" t="s">
        <v>44</v>
      </c>
      <c r="I153" t="s">
        <v>45</v>
      </c>
      <c r="J153" t="s">
        <v>120</v>
      </c>
      <c r="K153" t="s">
        <v>59</v>
      </c>
      <c r="L153">
        <v>7</v>
      </c>
      <c r="M153">
        <v>6434</v>
      </c>
      <c r="N153">
        <v>11543</v>
      </c>
      <c r="O153">
        <v>0</v>
      </c>
      <c r="P153">
        <v>80801</v>
      </c>
      <c r="Q153">
        <v>35763</v>
      </c>
      <c r="R153">
        <v>1</v>
      </c>
    </row>
    <row r="154" spans="1:18" x14ac:dyDescent="0.25">
      <c r="A154" t="s">
        <v>474</v>
      </c>
      <c r="B154" t="s">
        <v>475</v>
      </c>
      <c r="C154" t="s">
        <v>131</v>
      </c>
      <c r="D154" t="s">
        <v>132</v>
      </c>
      <c r="E154" t="s">
        <v>64</v>
      </c>
      <c r="F154" t="s">
        <v>98</v>
      </c>
      <c r="G154" t="s">
        <v>476</v>
      </c>
      <c r="H154" t="s">
        <v>25</v>
      </c>
      <c r="I154" t="s">
        <v>45</v>
      </c>
      <c r="J154" t="s">
        <v>27</v>
      </c>
      <c r="K154" t="s">
        <v>59</v>
      </c>
      <c r="L154">
        <v>2</v>
      </c>
      <c r="M154">
        <v>6204</v>
      </c>
      <c r="N154">
        <v>12143</v>
      </c>
      <c r="O154">
        <v>0</v>
      </c>
      <c r="P154">
        <v>24286</v>
      </c>
      <c r="Q154">
        <v>11878</v>
      </c>
      <c r="R154">
        <v>5</v>
      </c>
    </row>
    <row r="155" spans="1:18" x14ac:dyDescent="0.25">
      <c r="A155" t="s">
        <v>477</v>
      </c>
      <c r="B155" t="s">
        <v>478</v>
      </c>
      <c r="C155" t="s">
        <v>149</v>
      </c>
      <c r="D155" t="s">
        <v>150</v>
      </c>
      <c r="E155" t="s">
        <v>51</v>
      </c>
      <c r="F155" t="s">
        <v>42</v>
      </c>
      <c r="G155" t="s">
        <v>479</v>
      </c>
      <c r="H155" t="s">
        <v>44</v>
      </c>
      <c r="I155" t="s">
        <v>45</v>
      </c>
      <c r="J155" t="s">
        <v>120</v>
      </c>
      <c r="K155" t="s">
        <v>36</v>
      </c>
      <c r="L155">
        <v>8</v>
      </c>
      <c r="M155">
        <v>1150</v>
      </c>
      <c r="N155">
        <v>8966</v>
      </c>
      <c r="O155">
        <v>0.1</v>
      </c>
      <c r="P155">
        <v>71728</v>
      </c>
      <c r="Q155">
        <v>62528</v>
      </c>
      <c r="R155">
        <v>5</v>
      </c>
    </row>
    <row r="156" spans="1:18" x14ac:dyDescent="0.25">
      <c r="A156" t="s">
        <v>69</v>
      </c>
      <c r="B156" t="s">
        <v>480</v>
      </c>
      <c r="C156" t="s">
        <v>131</v>
      </c>
      <c r="D156" t="s">
        <v>132</v>
      </c>
      <c r="E156" t="s">
        <v>64</v>
      </c>
      <c r="G156" t="s">
        <v>481</v>
      </c>
      <c r="H156" t="s">
        <v>25</v>
      </c>
      <c r="I156" t="s">
        <v>35</v>
      </c>
      <c r="J156" t="s">
        <v>53</v>
      </c>
      <c r="K156" t="s">
        <v>36</v>
      </c>
      <c r="L156">
        <v>2</v>
      </c>
      <c r="M156">
        <v>12107</v>
      </c>
      <c r="N156">
        <v>17647</v>
      </c>
      <c r="O156">
        <v>0.1</v>
      </c>
      <c r="P156">
        <v>35294</v>
      </c>
      <c r="Q156">
        <v>11080</v>
      </c>
      <c r="R156">
        <v>2</v>
      </c>
    </row>
    <row r="157" spans="1:18" x14ac:dyDescent="0.25">
      <c r="A157" t="s">
        <v>155</v>
      </c>
      <c r="B157" t="s">
        <v>482</v>
      </c>
      <c r="C157" t="s">
        <v>131</v>
      </c>
      <c r="D157" t="s">
        <v>132</v>
      </c>
      <c r="E157" t="s">
        <v>64</v>
      </c>
      <c r="G157" t="s">
        <v>426</v>
      </c>
      <c r="H157" t="s">
        <v>25</v>
      </c>
      <c r="I157" t="s">
        <v>26</v>
      </c>
      <c r="J157" t="s">
        <v>103</v>
      </c>
      <c r="K157" t="s">
        <v>59</v>
      </c>
      <c r="L157">
        <v>2</v>
      </c>
      <c r="M157">
        <v>3126</v>
      </c>
      <c r="N157">
        <v>7542</v>
      </c>
      <c r="O157">
        <v>0.05</v>
      </c>
      <c r="P157">
        <v>15084</v>
      </c>
      <c r="Q157">
        <v>8832</v>
      </c>
      <c r="R157">
        <v>3</v>
      </c>
    </row>
    <row r="158" spans="1:18" x14ac:dyDescent="0.25">
      <c r="A158" t="s">
        <v>483</v>
      </c>
      <c r="B158" t="s">
        <v>484</v>
      </c>
      <c r="C158" t="s">
        <v>39</v>
      </c>
      <c r="D158" t="s">
        <v>40</v>
      </c>
      <c r="E158" t="s">
        <v>41</v>
      </c>
      <c r="F158" t="s">
        <v>42</v>
      </c>
      <c r="G158" t="s">
        <v>485</v>
      </c>
      <c r="H158" t="s">
        <v>25</v>
      </c>
      <c r="I158" t="s">
        <v>26</v>
      </c>
      <c r="J158" t="s">
        <v>53</v>
      </c>
      <c r="K158" t="s">
        <v>59</v>
      </c>
      <c r="L158">
        <v>8</v>
      </c>
      <c r="M158">
        <v>12191</v>
      </c>
      <c r="N158">
        <v>14523</v>
      </c>
      <c r="O158">
        <v>0</v>
      </c>
      <c r="P158">
        <v>116184</v>
      </c>
      <c r="Q158">
        <v>18656</v>
      </c>
      <c r="R158">
        <v>3</v>
      </c>
    </row>
    <row r="159" spans="1:18" x14ac:dyDescent="0.25">
      <c r="A159" t="s">
        <v>486</v>
      </c>
      <c r="B159" t="s">
        <v>487</v>
      </c>
      <c r="C159" t="s">
        <v>106</v>
      </c>
      <c r="D159" t="s">
        <v>107</v>
      </c>
      <c r="E159" t="s">
        <v>41</v>
      </c>
      <c r="F159" t="s">
        <v>23</v>
      </c>
      <c r="G159" t="s">
        <v>488</v>
      </c>
      <c r="H159" t="s">
        <v>25</v>
      </c>
      <c r="I159" t="s">
        <v>26</v>
      </c>
      <c r="J159" t="s">
        <v>120</v>
      </c>
      <c r="K159" t="s">
        <v>36</v>
      </c>
      <c r="L159">
        <v>4</v>
      </c>
      <c r="M159">
        <v>8590</v>
      </c>
      <c r="N159">
        <v>12226</v>
      </c>
      <c r="O159">
        <v>0.04</v>
      </c>
      <c r="P159">
        <v>48904</v>
      </c>
      <c r="Q159">
        <v>14544</v>
      </c>
      <c r="R159">
        <v>3</v>
      </c>
    </row>
    <row r="160" spans="1:18" x14ac:dyDescent="0.25">
      <c r="A160" t="s">
        <v>424</v>
      </c>
      <c r="B160" t="s">
        <v>489</v>
      </c>
      <c r="C160" t="s">
        <v>62</v>
      </c>
      <c r="D160" t="s">
        <v>63</v>
      </c>
      <c r="E160" t="s">
        <v>64</v>
      </c>
      <c r="F160" t="s">
        <v>92</v>
      </c>
      <c r="G160" t="s">
        <v>490</v>
      </c>
      <c r="H160" t="s">
        <v>25</v>
      </c>
      <c r="I160" t="s">
        <v>45</v>
      </c>
      <c r="J160" t="s">
        <v>103</v>
      </c>
      <c r="K160" t="s">
        <v>54</v>
      </c>
      <c r="L160">
        <v>2</v>
      </c>
      <c r="M160">
        <v>12880</v>
      </c>
      <c r="N160">
        <v>17243</v>
      </c>
      <c r="O160">
        <v>0.04</v>
      </c>
      <c r="P160">
        <v>34486</v>
      </c>
      <c r="Q160">
        <v>8726</v>
      </c>
      <c r="R160">
        <v>1</v>
      </c>
    </row>
    <row r="161" spans="1:18" x14ac:dyDescent="0.25">
      <c r="A161" t="s">
        <v>491</v>
      </c>
      <c r="B161" t="s">
        <v>492</v>
      </c>
      <c r="C161" t="s">
        <v>149</v>
      </c>
      <c r="D161" t="s">
        <v>150</v>
      </c>
      <c r="E161" t="s">
        <v>51</v>
      </c>
      <c r="F161" t="s">
        <v>73</v>
      </c>
      <c r="G161" t="s">
        <v>493</v>
      </c>
      <c r="H161" t="s">
        <v>25</v>
      </c>
      <c r="I161" t="s">
        <v>35</v>
      </c>
      <c r="J161" t="s">
        <v>103</v>
      </c>
      <c r="K161" t="s">
        <v>28</v>
      </c>
      <c r="L161">
        <v>8</v>
      </c>
      <c r="M161">
        <v>14047</v>
      </c>
      <c r="N161">
        <v>18650</v>
      </c>
      <c r="O161">
        <v>0.04</v>
      </c>
      <c r="P161">
        <v>149200</v>
      </c>
      <c r="Q161">
        <v>36824</v>
      </c>
      <c r="R161">
        <v>1</v>
      </c>
    </row>
    <row r="162" spans="1:18" x14ac:dyDescent="0.25">
      <c r="A162" t="s">
        <v>85</v>
      </c>
      <c r="B162" t="s">
        <v>494</v>
      </c>
      <c r="C162" t="s">
        <v>77</v>
      </c>
      <c r="D162" t="s">
        <v>78</v>
      </c>
      <c r="E162" t="s">
        <v>64</v>
      </c>
      <c r="G162" t="s">
        <v>495</v>
      </c>
      <c r="H162" t="s">
        <v>25</v>
      </c>
      <c r="I162" t="s">
        <v>45</v>
      </c>
      <c r="J162" t="s">
        <v>75</v>
      </c>
      <c r="K162" t="s">
        <v>28</v>
      </c>
      <c r="L162">
        <v>3</v>
      </c>
      <c r="M162">
        <v>1768</v>
      </c>
      <c r="N162">
        <v>7083</v>
      </c>
      <c r="O162">
        <v>0.04</v>
      </c>
      <c r="P162">
        <v>21249</v>
      </c>
      <c r="Q162">
        <v>15945</v>
      </c>
      <c r="R162">
        <v>1</v>
      </c>
    </row>
    <row r="163" spans="1:18" x14ac:dyDescent="0.25">
      <c r="A163" t="s">
        <v>496</v>
      </c>
      <c r="B163" t="s">
        <v>497</v>
      </c>
      <c r="C163" t="s">
        <v>141</v>
      </c>
      <c r="D163" t="s">
        <v>142</v>
      </c>
      <c r="E163" t="s">
        <v>51</v>
      </c>
      <c r="F163" t="s">
        <v>73</v>
      </c>
      <c r="G163" t="s">
        <v>498</v>
      </c>
      <c r="H163" t="s">
        <v>44</v>
      </c>
      <c r="I163" t="s">
        <v>45</v>
      </c>
      <c r="J163" t="s">
        <v>120</v>
      </c>
      <c r="K163" t="s">
        <v>36</v>
      </c>
      <c r="L163">
        <v>8</v>
      </c>
      <c r="M163">
        <v>2071</v>
      </c>
      <c r="N163">
        <v>8732</v>
      </c>
      <c r="O163">
        <v>0.1</v>
      </c>
      <c r="P163">
        <v>69856</v>
      </c>
      <c r="Q163">
        <v>53288</v>
      </c>
      <c r="R163">
        <v>4</v>
      </c>
    </row>
    <row r="164" spans="1:18" x14ac:dyDescent="0.25">
      <c r="A164" t="s">
        <v>499</v>
      </c>
      <c r="B164" t="s">
        <v>500</v>
      </c>
      <c r="C164" t="s">
        <v>87</v>
      </c>
      <c r="D164" t="s">
        <v>88</v>
      </c>
      <c r="E164" t="s">
        <v>33</v>
      </c>
      <c r="F164" t="s">
        <v>98</v>
      </c>
      <c r="G164" t="s">
        <v>501</v>
      </c>
      <c r="H164" t="s">
        <v>44</v>
      </c>
      <c r="I164" t="s">
        <v>26</v>
      </c>
      <c r="J164" t="s">
        <v>75</v>
      </c>
      <c r="K164" t="s">
        <v>59</v>
      </c>
      <c r="L164">
        <v>8</v>
      </c>
      <c r="M164">
        <v>5123</v>
      </c>
      <c r="N164">
        <v>10198</v>
      </c>
      <c r="O164">
        <v>0.02</v>
      </c>
      <c r="P164">
        <v>81584</v>
      </c>
      <c r="Q164">
        <v>40600</v>
      </c>
      <c r="R164">
        <v>1</v>
      </c>
    </row>
    <row r="165" spans="1:18" x14ac:dyDescent="0.25">
      <c r="A165" t="s">
        <v>502</v>
      </c>
      <c r="B165" t="s">
        <v>503</v>
      </c>
      <c r="C165" t="s">
        <v>49</v>
      </c>
      <c r="D165" t="s">
        <v>50</v>
      </c>
      <c r="E165" t="s">
        <v>51</v>
      </c>
      <c r="F165" t="s">
        <v>98</v>
      </c>
      <c r="G165" t="s">
        <v>504</v>
      </c>
      <c r="H165" t="s">
        <v>44</v>
      </c>
      <c r="I165" t="s">
        <v>26</v>
      </c>
      <c r="J165" t="s">
        <v>58</v>
      </c>
      <c r="K165" t="s">
        <v>28</v>
      </c>
      <c r="L165">
        <v>8</v>
      </c>
      <c r="M165">
        <v>13364</v>
      </c>
      <c r="N165">
        <v>17239</v>
      </c>
      <c r="O165">
        <v>0.1</v>
      </c>
      <c r="P165">
        <v>137912</v>
      </c>
      <c r="Q165">
        <v>31000</v>
      </c>
      <c r="R165">
        <v>1</v>
      </c>
    </row>
    <row r="166" spans="1:18" x14ac:dyDescent="0.25">
      <c r="A166" t="s">
        <v>167</v>
      </c>
      <c r="B166" t="s">
        <v>505</v>
      </c>
      <c r="C166" t="s">
        <v>77</v>
      </c>
      <c r="D166" t="s">
        <v>78</v>
      </c>
      <c r="E166" t="s">
        <v>64</v>
      </c>
      <c r="F166" t="s">
        <v>73</v>
      </c>
      <c r="G166" t="s">
        <v>284</v>
      </c>
      <c r="H166" t="s">
        <v>44</v>
      </c>
      <c r="I166" t="s">
        <v>26</v>
      </c>
      <c r="J166" t="s">
        <v>58</v>
      </c>
      <c r="K166" t="s">
        <v>36</v>
      </c>
      <c r="L166">
        <v>6</v>
      </c>
      <c r="M166">
        <v>12434</v>
      </c>
      <c r="N166">
        <v>15569</v>
      </c>
      <c r="O166">
        <v>0</v>
      </c>
      <c r="P166">
        <v>93414</v>
      </c>
      <c r="Q166">
        <v>18810</v>
      </c>
      <c r="R166">
        <v>5</v>
      </c>
    </row>
    <row r="167" spans="1:18" x14ac:dyDescent="0.25">
      <c r="A167" t="s">
        <v>491</v>
      </c>
      <c r="B167" t="s">
        <v>506</v>
      </c>
      <c r="C167" t="s">
        <v>62</v>
      </c>
      <c r="D167" t="s">
        <v>63</v>
      </c>
      <c r="E167" t="s">
        <v>64</v>
      </c>
      <c r="F167" t="s">
        <v>73</v>
      </c>
      <c r="G167" t="s">
        <v>507</v>
      </c>
      <c r="H167" t="s">
        <v>25</v>
      </c>
      <c r="I167" t="s">
        <v>45</v>
      </c>
      <c r="J167" t="s">
        <v>75</v>
      </c>
      <c r="K167" t="s">
        <v>54</v>
      </c>
      <c r="L167">
        <v>8</v>
      </c>
      <c r="M167">
        <v>12065</v>
      </c>
      <c r="N167">
        <v>16205</v>
      </c>
      <c r="O167">
        <v>0.04</v>
      </c>
      <c r="P167">
        <v>129640</v>
      </c>
      <c r="Q167">
        <v>33120</v>
      </c>
      <c r="R167">
        <v>4</v>
      </c>
    </row>
    <row r="168" spans="1:18" x14ac:dyDescent="0.25">
      <c r="A168" t="s">
        <v>508</v>
      </c>
      <c r="B168" t="s">
        <v>509</v>
      </c>
      <c r="C168" t="s">
        <v>82</v>
      </c>
      <c r="D168" t="s">
        <v>83</v>
      </c>
      <c r="E168" t="s">
        <v>51</v>
      </c>
      <c r="F168" t="s">
        <v>42</v>
      </c>
      <c r="G168" t="s">
        <v>510</v>
      </c>
      <c r="H168" t="s">
        <v>25</v>
      </c>
      <c r="I168" t="s">
        <v>26</v>
      </c>
      <c r="J168" t="s">
        <v>46</v>
      </c>
      <c r="K168" t="s">
        <v>36</v>
      </c>
      <c r="L168">
        <v>7</v>
      </c>
      <c r="M168">
        <v>5785</v>
      </c>
      <c r="N168">
        <v>11620</v>
      </c>
      <c r="O168">
        <v>0.05</v>
      </c>
      <c r="P168">
        <v>81340</v>
      </c>
      <c r="Q168">
        <v>40845</v>
      </c>
      <c r="R168">
        <v>4</v>
      </c>
    </row>
    <row r="169" spans="1:18" x14ac:dyDescent="0.25">
      <c r="A169" t="s">
        <v>152</v>
      </c>
      <c r="B169" t="s">
        <v>511</v>
      </c>
      <c r="C169" t="s">
        <v>39</v>
      </c>
      <c r="D169" t="s">
        <v>40</v>
      </c>
      <c r="E169" t="s">
        <v>41</v>
      </c>
      <c r="F169" t="s">
        <v>98</v>
      </c>
      <c r="G169" t="s">
        <v>512</v>
      </c>
      <c r="H169" t="s">
        <v>25</v>
      </c>
      <c r="I169" t="s">
        <v>26</v>
      </c>
      <c r="J169" t="s">
        <v>58</v>
      </c>
      <c r="K169" t="s">
        <v>59</v>
      </c>
      <c r="L169">
        <v>6</v>
      </c>
      <c r="M169">
        <v>8124</v>
      </c>
      <c r="N169">
        <v>12810</v>
      </c>
      <c r="O169">
        <v>0</v>
      </c>
      <c r="P169">
        <v>76860</v>
      </c>
      <c r="Q169">
        <v>28116</v>
      </c>
      <c r="R169">
        <v>1</v>
      </c>
    </row>
    <row r="170" spans="1:18" x14ac:dyDescent="0.25">
      <c r="A170" t="s">
        <v>372</v>
      </c>
      <c r="B170" t="s">
        <v>513</v>
      </c>
      <c r="C170" t="s">
        <v>71</v>
      </c>
      <c r="D170" t="s">
        <v>72</v>
      </c>
      <c r="E170" t="s">
        <v>64</v>
      </c>
      <c r="F170" t="s">
        <v>73</v>
      </c>
      <c r="G170" t="s">
        <v>229</v>
      </c>
      <c r="H170" t="s">
        <v>25</v>
      </c>
      <c r="I170" t="s">
        <v>45</v>
      </c>
      <c r="J170" t="s">
        <v>75</v>
      </c>
      <c r="K170" t="s">
        <v>59</v>
      </c>
      <c r="L170">
        <v>8</v>
      </c>
      <c r="M170">
        <v>5101</v>
      </c>
      <c r="N170">
        <v>11336</v>
      </c>
      <c r="O170">
        <v>0.05</v>
      </c>
      <c r="P170">
        <v>90688</v>
      </c>
      <c r="Q170">
        <v>49880</v>
      </c>
      <c r="R170">
        <v>4</v>
      </c>
    </row>
    <row r="171" spans="1:18" x14ac:dyDescent="0.25">
      <c r="A171" t="s">
        <v>514</v>
      </c>
      <c r="B171" t="s">
        <v>515</v>
      </c>
      <c r="C171" t="s">
        <v>96</v>
      </c>
      <c r="D171" t="s">
        <v>97</v>
      </c>
      <c r="E171" t="s">
        <v>51</v>
      </c>
      <c r="F171" t="s">
        <v>92</v>
      </c>
      <c r="G171" t="s">
        <v>516</v>
      </c>
      <c r="H171" t="s">
        <v>44</v>
      </c>
      <c r="I171" t="s">
        <v>26</v>
      </c>
      <c r="J171" t="s">
        <v>103</v>
      </c>
      <c r="K171" t="s">
        <v>28</v>
      </c>
      <c r="L171">
        <v>4</v>
      </c>
      <c r="M171">
        <v>12182</v>
      </c>
      <c r="N171">
        <v>14383</v>
      </c>
      <c r="O171">
        <v>0.05</v>
      </c>
      <c r="P171">
        <v>57532</v>
      </c>
      <c r="Q171">
        <v>8804</v>
      </c>
      <c r="R171">
        <v>1</v>
      </c>
    </row>
    <row r="172" spans="1:18" x14ac:dyDescent="0.25">
      <c r="A172" t="s">
        <v>344</v>
      </c>
      <c r="B172" t="s">
        <v>517</v>
      </c>
      <c r="C172" t="s">
        <v>241</v>
      </c>
      <c r="D172" t="s">
        <v>242</v>
      </c>
      <c r="E172" t="s">
        <v>22</v>
      </c>
      <c r="F172" t="s">
        <v>42</v>
      </c>
      <c r="G172" t="s">
        <v>518</v>
      </c>
      <c r="H172" t="s">
        <v>25</v>
      </c>
      <c r="I172" t="s">
        <v>35</v>
      </c>
      <c r="J172" t="s">
        <v>75</v>
      </c>
      <c r="K172" t="s">
        <v>54</v>
      </c>
      <c r="L172">
        <v>8</v>
      </c>
      <c r="M172">
        <v>3666</v>
      </c>
      <c r="N172">
        <v>4697</v>
      </c>
      <c r="O172">
        <v>0.1</v>
      </c>
      <c r="P172">
        <v>37576</v>
      </c>
      <c r="Q172">
        <v>8248</v>
      </c>
      <c r="R172">
        <v>4</v>
      </c>
    </row>
    <row r="173" spans="1:18" x14ac:dyDescent="0.25">
      <c r="A173" t="s">
        <v>519</v>
      </c>
      <c r="B173" t="s">
        <v>520</v>
      </c>
      <c r="C173" t="s">
        <v>49</v>
      </c>
      <c r="D173" t="s">
        <v>50</v>
      </c>
      <c r="E173" t="s">
        <v>51</v>
      </c>
      <c r="F173" t="s">
        <v>98</v>
      </c>
      <c r="G173" t="s">
        <v>521</v>
      </c>
      <c r="H173" t="s">
        <v>25</v>
      </c>
      <c r="I173" t="s">
        <v>45</v>
      </c>
      <c r="J173" t="s">
        <v>53</v>
      </c>
      <c r="K173" t="s">
        <v>54</v>
      </c>
      <c r="L173">
        <v>3</v>
      </c>
      <c r="M173">
        <v>9701</v>
      </c>
      <c r="N173">
        <v>11043</v>
      </c>
      <c r="O173">
        <v>0.04</v>
      </c>
      <c r="P173">
        <v>33129</v>
      </c>
      <c r="Q173">
        <v>4026</v>
      </c>
    </row>
    <row r="174" spans="1:18" x14ac:dyDescent="0.25">
      <c r="A174" t="s">
        <v>409</v>
      </c>
      <c r="B174" t="s">
        <v>522</v>
      </c>
      <c r="C174" t="s">
        <v>62</v>
      </c>
      <c r="D174" t="s">
        <v>63</v>
      </c>
      <c r="E174" t="s">
        <v>64</v>
      </c>
      <c r="F174" t="s">
        <v>98</v>
      </c>
      <c r="G174" t="s">
        <v>523</v>
      </c>
      <c r="H174" t="s">
        <v>44</v>
      </c>
      <c r="I174" t="s">
        <v>45</v>
      </c>
      <c r="J174" t="s">
        <v>120</v>
      </c>
      <c r="K174" t="s">
        <v>36</v>
      </c>
      <c r="L174">
        <v>7</v>
      </c>
      <c r="M174">
        <v>11505</v>
      </c>
      <c r="N174">
        <v>13645</v>
      </c>
      <c r="O174">
        <v>0.02</v>
      </c>
      <c r="P174">
        <v>95515</v>
      </c>
      <c r="Q174">
        <v>14980</v>
      </c>
      <c r="R174">
        <v>4</v>
      </c>
    </row>
    <row r="175" spans="1:18" x14ac:dyDescent="0.25">
      <c r="A175" t="s">
        <v>364</v>
      </c>
      <c r="B175" t="s">
        <v>524</v>
      </c>
      <c r="C175" t="s">
        <v>106</v>
      </c>
      <c r="D175" t="s">
        <v>107</v>
      </c>
      <c r="E175" t="s">
        <v>41</v>
      </c>
      <c r="F175" t="s">
        <v>42</v>
      </c>
      <c r="G175" t="s">
        <v>525</v>
      </c>
      <c r="H175" t="s">
        <v>44</v>
      </c>
      <c r="I175" t="s">
        <v>35</v>
      </c>
      <c r="J175" t="s">
        <v>75</v>
      </c>
      <c r="K175" t="s">
        <v>54</v>
      </c>
      <c r="L175">
        <v>1</v>
      </c>
      <c r="M175">
        <v>1528</v>
      </c>
      <c r="N175">
        <v>4875</v>
      </c>
      <c r="O175">
        <v>0.05</v>
      </c>
      <c r="P175">
        <v>4875</v>
      </c>
      <c r="Q175">
        <v>3347</v>
      </c>
      <c r="R175">
        <v>2</v>
      </c>
    </row>
    <row r="176" spans="1:18" x14ac:dyDescent="0.25">
      <c r="A176" t="s">
        <v>526</v>
      </c>
      <c r="B176" t="s">
        <v>527</v>
      </c>
      <c r="C176" t="s">
        <v>49</v>
      </c>
      <c r="D176" t="s">
        <v>50</v>
      </c>
      <c r="E176" t="s">
        <v>51</v>
      </c>
      <c r="F176" t="s">
        <v>98</v>
      </c>
      <c r="G176" t="s">
        <v>387</v>
      </c>
      <c r="H176" t="s">
        <v>44</v>
      </c>
      <c r="I176" t="s">
        <v>35</v>
      </c>
      <c r="J176" t="s">
        <v>120</v>
      </c>
      <c r="K176" t="s">
        <v>54</v>
      </c>
      <c r="L176">
        <v>7</v>
      </c>
      <c r="M176">
        <v>11394</v>
      </c>
      <c r="N176">
        <v>19064</v>
      </c>
      <c r="O176">
        <v>0.05</v>
      </c>
      <c r="P176">
        <v>133448</v>
      </c>
      <c r="Q176">
        <v>53690</v>
      </c>
    </row>
    <row r="177" spans="1:18" x14ac:dyDescent="0.25">
      <c r="A177" t="s">
        <v>528</v>
      </c>
      <c r="B177" t="s">
        <v>529</v>
      </c>
      <c r="C177" t="s">
        <v>31</v>
      </c>
      <c r="D177" t="s">
        <v>32</v>
      </c>
      <c r="E177" t="s">
        <v>33</v>
      </c>
      <c r="F177" t="s">
        <v>23</v>
      </c>
      <c r="G177" t="s">
        <v>530</v>
      </c>
      <c r="H177" t="s">
        <v>25</v>
      </c>
      <c r="I177" t="s">
        <v>45</v>
      </c>
      <c r="J177" t="s">
        <v>103</v>
      </c>
      <c r="K177" t="s">
        <v>59</v>
      </c>
      <c r="L177">
        <v>4</v>
      </c>
      <c r="M177">
        <v>8743</v>
      </c>
      <c r="N177">
        <v>15959</v>
      </c>
      <c r="O177">
        <v>0.04</v>
      </c>
      <c r="P177">
        <v>63836</v>
      </c>
      <c r="Q177">
        <v>28864</v>
      </c>
      <c r="R177">
        <v>5</v>
      </c>
    </row>
    <row r="178" spans="1:18" x14ac:dyDescent="0.25">
      <c r="A178" t="s">
        <v>531</v>
      </c>
      <c r="B178" t="s">
        <v>532</v>
      </c>
      <c r="C178" t="s">
        <v>77</v>
      </c>
      <c r="D178" t="s">
        <v>78</v>
      </c>
      <c r="E178" t="s">
        <v>64</v>
      </c>
      <c r="F178" t="s">
        <v>92</v>
      </c>
      <c r="G178" t="s">
        <v>533</v>
      </c>
      <c r="H178" t="s">
        <v>44</v>
      </c>
      <c r="I178" t="s">
        <v>26</v>
      </c>
      <c r="J178" t="s">
        <v>120</v>
      </c>
      <c r="K178" t="s">
        <v>59</v>
      </c>
      <c r="L178">
        <v>7</v>
      </c>
      <c r="M178">
        <v>6371</v>
      </c>
      <c r="N178">
        <v>11474</v>
      </c>
      <c r="O178">
        <v>0.04</v>
      </c>
      <c r="P178">
        <v>80318</v>
      </c>
      <c r="Q178">
        <v>35721</v>
      </c>
      <c r="R178">
        <v>3</v>
      </c>
    </row>
    <row r="179" spans="1:18" x14ac:dyDescent="0.25">
      <c r="A179" t="s">
        <v>534</v>
      </c>
      <c r="B179" t="s">
        <v>535</v>
      </c>
      <c r="C179" t="s">
        <v>141</v>
      </c>
      <c r="D179" t="s">
        <v>142</v>
      </c>
      <c r="E179" t="s">
        <v>51</v>
      </c>
      <c r="G179" t="s">
        <v>536</v>
      </c>
      <c r="H179" t="s">
        <v>25</v>
      </c>
      <c r="I179" t="s">
        <v>45</v>
      </c>
      <c r="J179" t="s">
        <v>120</v>
      </c>
      <c r="K179" t="s">
        <v>28</v>
      </c>
      <c r="L179">
        <v>4</v>
      </c>
      <c r="M179">
        <v>10426</v>
      </c>
      <c r="N179">
        <v>14717</v>
      </c>
      <c r="O179">
        <v>0.04</v>
      </c>
      <c r="P179">
        <v>58868</v>
      </c>
      <c r="Q179">
        <v>17164</v>
      </c>
    </row>
    <row r="180" spans="1:18" x14ac:dyDescent="0.25">
      <c r="A180" t="s">
        <v>537</v>
      </c>
      <c r="B180" t="s">
        <v>538</v>
      </c>
      <c r="C180" t="s">
        <v>141</v>
      </c>
      <c r="D180" t="s">
        <v>142</v>
      </c>
      <c r="E180" t="s">
        <v>51</v>
      </c>
      <c r="F180" t="s">
        <v>23</v>
      </c>
      <c r="G180" t="s">
        <v>108</v>
      </c>
      <c r="H180" t="s">
        <v>44</v>
      </c>
      <c r="I180" t="s">
        <v>35</v>
      </c>
      <c r="J180" t="s">
        <v>53</v>
      </c>
      <c r="K180" t="s">
        <v>28</v>
      </c>
      <c r="L180">
        <v>3</v>
      </c>
      <c r="M180">
        <v>12563</v>
      </c>
      <c r="N180">
        <v>13334</v>
      </c>
      <c r="O180">
        <v>0</v>
      </c>
      <c r="P180">
        <v>40002</v>
      </c>
      <c r="Q180">
        <v>2313</v>
      </c>
    </row>
    <row r="181" spans="1:18" x14ac:dyDescent="0.25">
      <c r="A181" t="s">
        <v>539</v>
      </c>
      <c r="B181" t="s">
        <v>540</v>
      </c>
      <c r="C181" t="s">
        <v>216</v>
      </c>
      <c r="D181" t="s">
        <v>217</v>
      </c>
      <c r="E181" t="s">
        <v>33</v>
      </c>
      <c r="F181" t="s">
        <v>23</v>
      </c>
      <c r="G181" t="s">
        <v>541</v>
      </c>
      <c r="H181" t="s">
        <v>25</v>
      </c>
      <c r="I181" t="s">
        <v>35</v>
      </c>
      <c r="J181" t="s">
        <v>46</v>
      </c>
      <c r="K181" t="s">
        <v>36</v>
      </c>
      <c r="L181">
        <v>4</v>
      </c>
      <c r="M181">
        <v>6431</v>
      </c>
      <c r="N181">
        <v>11028</v>
      </c>
      <c r="O181">
        <v>0.05</v>
      </c>
      <c r="P181">
        <v>44112</v>
      </c>
      <c r="Q181">
        <v>18388</v>
      </c>
      <c r="R181">
        <v>2</v>
      </c>
    </row>
    <row r="182" spans="1:18" x14ac:dyDescent="0.25">
      <c r="A182" t="s">
        <v>542</v>
      </c>
      <c r="B182" t="s">
        <v>543</v>
      </c>
      <c r="C182" t="s">
        <v>82</v>
      </c>
      <c r="D182" t="s">
        <v>83</v>
      </c>
      <c r="E182" t="s">
        <v>51</v>
      </c>
      <c r="F182" t="s">
        <v>23</v>
      </c>
      <c r="G182" t="s">
        <v>544</v>
      </c>
      <c r="H182" t="s">
        <v>25</v>
      </c>
      <c r="I182" t="s">
        <v>26</v>
      </c>
      <c r="J182" t="s">
        <v>27</v>
      </c>
      <c r="K182" t="s">
        <v>28</v>
      </c>
      <c r="L182">
        <v>7</v>
      </c>
      <c r="M182">
        <v>3115</v>
      </c>
      <c r="N182">
        <v>7584</v>
      </c>
      <c r="O182">
        <v>0</v>
      </c>
      <c r="P182">
        <v>53088</v>
      </c>
      <c r="Q182">
        <v>31283</v>
      </c>
      <c r="R182">
        <v>3</v>
      </c>
    </row>
    <row r="183" spans="1:18" x14ac:dyDescent="0.25">
      <c r="A183" t="s">
        <v>69</v>
      </c>
      <c r="B183" t="s">
        <v>545</v>
      </c>
      <c r="C183" t="s">
        <v>20</v>
      </c>
      <c r="D183" t="s">
        <v>21</v>
      </c>
      <c r="E183" t="s">
        <v>22</v>
      </c>
      <c r="F183" t="s">
        <v>92</v>
      </c>
      <c r="G183" t="s">
        <v>546</v>
      </c>
      <c r="H183" t="s">
        <v>44</v>
      </c>
      <c r="I183" t="s">
        <v>45</v>
      </c>
      <c r="J183" t="s">
        <v>53</v>
      </c>
      <c r="K183" t="s">
        <v>28</v>
      </c>
      <c r="L183">
        <v>2</v>
      </c>
      <c r="M183">
        <v>4316</v>
      </c>
      <c r="N183">
        <v>8472</v>
      </c>
      <c r="O183">
        <v>0.04</v>
      </c>
      <c r="P183">
        <v>16944</v>
      </c>
      <c r="Q183">
        <v>8312</v>
      </c>
      <c r="R183">
        <v>3</v>
      </c>
    </row>
    <row r="184" spans="1:18" x14ac:dyDescent="0.25">
      <c r="A184" t="s">
        <v>327</v>
      </c>
      <c r="B184" t="s">
        <v>547</v>
      </c>
      <c r="C184" t="s">
        <v>82</v>
      </c>
      <c r="D184" t="s">
        <v>83</v>
      </c>
      <c r="E184" t="s">
        <v>51</v>
      </c>
      <c r="F184" t="s">
        <v>73</v>
      </c>
      <c r="G184" t="s">
        <v>548</v>
      </c>
      <c r="H184" t="s">
        <v>25</v>
      </c>
      <c r="I184" t="s">
        <v>26</v>
      </c>
      <c r="J184" t="s">
        <v>120</v>
      </c>
      <c r="K184" t="s">
        <v>36</v>
      </c>
      <c r="L184">
        <v>7</v>
      </c>
      <c r="M184">
        <v>8076</v>
      </c>
      <c r="N184">
        <v>14781</v>
      </c>
      <c r="O184">
        <v>0</v>
      </c>
      <c r="P184">
        <v>103467</v>
      </c>
      <c r="Q184">
        <v>46935</v>
      </c>
      <c r="R184">
        <v>3</v>
      </c>
    </row>
    <row r="185" spans="1:18" x14ac:dyDescent="0.25">
      <c r="A185" t="s">
        <v>434</v>
      </c>
      <c r="B185" t="s">
        <v>549</v>
      </c>
      <c r="C185" t="s">
        <v>131</v>
      </c>
      <c r="D185" t="s">
        <v>132</v>
      </c>
      <c r="E185" t="s">
        <v>64</v>
      </c>
      <c r="F185" t="s">
        <v>23</v>
      </c>
      <c r="G185" t="s">
        <v>550</v>
      </c>
      <c r="H185" t="s">
        <v>44</v>
      </c>
      <c r="I185" t="s">
        <v>45</v>
      </c>
      <c r="J185" t="s">
        <v>53</v>
      </c>
      <c r="K185" t="s">
        <v>54</v>
      </c>
      <c r="L185">
        <v>4</v>
      </c>
      <c r="M185">
        <v>12450</v>
      </c>
      <c r="N185">
        <v>15165</v>
      </c>
      <c r="O185">
        <v>0.02</v>
      </c>
      <c r="P185">
        <v>60660</v>
      </c>
      <c r="Q185">
        <v>10860</v>
      </c>
      <c r="R185">
        <v>2</v>
      </c>
    </row>
    <row r="186" spans="1:18" x14ac:dyDescent="0.25">
      <c r="A186" t="s">
        <v>551</v>
      </c>
      <c r="B186" t="s">
        <v>552</v>
      </c>
      <c r="C186" t="s">
        <v>117</v>
      </c>
      <c r="D186" t="s">
        <v>118</v>
      </c>
      <c r="E186" t="s">
        <v>41</v>
      </c>
      <c r="F186" t="s">
        <v>73</v>
      </c>
      <c r="G186" t="s">
        <v>553</v>
      </c>
      <c r="H186" t="s">
        <v>25</v>
      </c>
      <c r="I186" t="s">
        <v>26</v>
      </c>
      <c r="J186" t="s">
        <v>75</v>
      </c>
      <c r="K186" t="s">
        <v>36</v>
      </c>
      <c r="L186">
        <v>2</v>
      </c>
      <c r="M186">
        <v>12845</v>
      </c>
      <c r="N186">
        <v>18165</v>
      </c>
      <c r="O186">
        <v>0.05</v>
      </c>
      <c r="P186">
        <v>36330</v>
      </c>
      <c r="Q186">
        <v>10640</v>
      </c>
      <c r="R186">
        <v>2</v>
      </c>
    </row>
    <row r="187" spans="1:18" x14ac:dyDescent="0.25">
      <c r="A187" t="s">
        <v>554</v>
      </c>
      <c r="B187" t="s">
        <v>555</v>
      </c>
      <c r="C187" t="s">
        <v>31</v>
      </c>
      <c r="D187" t="s">
        <v>32</v>
      </c>
      <c r="E187" t="s">
        <v>33</v>
      </c>
      <c r="F187" t="s">
        <v>23</v>
      </c>
      <c r="G187" t="s">
        <v>556</v>
      </c>
      <c r="H187" t="s">
        <v>25</v>
      </c>
      <c r="I187" t="s">
        <v>45</v>
      </c>
      <c r="J187" t="s">
        <v>120</v>
      </c>
      <c r="K187" t="s">
        <v>28</v>
      </c>
      <c r="L187">
        <v>1</v>
      </c>
      <c r="M187">
        <v>6059</v>
      </c>
      <c r="N187">
        <v>13682</v>
      </c>
      <c r="O187">
        <v>0.02</v>
      </c>
      <c r="P187">
        <v>13682</v>
      </c>
      <c r="Q187">
        <v>7623</v>
      </c>
      <c r="R187">
        <v>2</v>
      </c>
    </row>
    <row r="188" spans="1:18" x14ac:dyDescent="0.25">
      <c r="A188" t="s">
        <v>100</v>
      </c>
      <c r="B188" t="s">
        <v>557</v>
      </c>
      <c r="C188" t="s">
        <v>49</v>
      </c>
      <c r="D188" t="s">
        <v>50</v>
      </c>
      <c r="E188" t="s">
        <v>51</v>
      </c>
      <c r="F188" t="s">
        <v>92</v>
      </c>
      <c r="G188" t="s">
        <v>558</v>
      </c>
      <c r="H188" t="s">
        <v>25</v>
      </c>
      <c r="I188" t="s">
        <v>26</v>
      </c>
      <c r="J188" t="s">
        <v>27</v>
      </c>
      <c r="K188" t="s">
        <v>28</v>
      </c>
      <c r="L188">
        <v>4</v>
      </c>
      <c r="M188">
        <v>10470</v>
      </c>
      <c r="N188">
        <v>15780</v>
      </c>
      <c r="O188">
        <v>0</v>
      </c>
      <c r="P188">
        <v>63120</v>
      </c>
      <c r="Q188">
        <v>21240</v>
      </c>
      <c r="R188">
        <v>2</v>
      </c>
    </row>
    <row r="189" spans="1:18" x14ac:dyDescent="0.25">
      <c r="A189" t="s">
        <v>559</v>
      </c>
      <c r="B189" t="s">
        <v>560</v>
      </c>
      <c r="C189" t="s">
        <v>131</v>
      </c>
      <c r="D189" t="s">
        <v>132</v>
      </c>
      <c r="E189" t="s">
        <v>64</v>
      </c>
      <c r="F189" t="s">
        <v>98</v>
      </c>
      <c r="G189" t="s">
        <v>561</v>
      </c>
      <c r="H189" t="s">
        <v>25</v>
      </c>
      <c r="I189" t="s">
        <v>35</v>
      </c>
      <c r="J189" t="s">
        <v>58</v>
      </c>
      <c r="K189" t="s">
        <v>59</v>
      </c>
      <c r="L189">
        <v>8</v>
      </c>
      <c r="M189">
        <v>4175</v>
      </c>
      <c r="N189">
        <v>12078</v>
      </c>
      <c r="O189">
        <v>0.02</v>
      </c>
      <c r="P189">
        <v>96624</v>
      </c>
      <c r="Q189">
        <v>63224</v>
      </c>
      <c r="R189">
        <v>1</v>
      </c>
    </row>
    <row r="190" spans="1:18" x14ac:dyDescent="0.25">
      <c r="A190" t="s">
        <v>562</v>
      </c>
      <c r="B190" t="s">
        <v>563</v>
      </c>
      <c r="C190" t="s">
        <v>71</v>
      </c>
      <c r="D190" t="s">
        <v>72</v>
      </c>
      <c r="E190" t="s">
        <v>64</v>
      </c>
      <c r="F190" t="s">
        <v>98</v>
      </c>
      <c r="G190" t="s">
        <v>343</v>
      </c>
      <c r="H190" t="s">
        <v>44</v>
      </c>
      <c r="I190" t="s">
        <v>45</v>
      </c>
      <c r="J190" t="s">
        <v>58</v>
      </c>
      <c r="K190" t="s">
        <v>28</v>
      </c>
      <c r="L190">
        <v>8</v>
      </c>
      <c r="M190">
        <v>7015</v>
      </c>
      <c r="N190">
        <v>14423</v>
      </c>
      <c r="O190">
        <v>0.1</v>
      </c>
      <c r="P190">
        <v>115384</v>
      </c>
      <c r="Q190">
        <v>59264</v>
      </c>
    </row>
    <row r="191" spans="1:18" x14ac:dyDescent="0.25">
      <c r="A191" t="s">
        <v>336</v>
      </c>
      <c r="B191" t="s">
        <v>564</v>
      </c>
      <c r="C191" t="s">
        <v>71</v>
      </c>
      <c r="D191" t="s">
        <v>72</v>
      </c>
      <c r="E191" t="s">
        <v>64</v>
      </c>
      <c r="F191" t="s">
        <v>98</v>
      </c>
      <c r="G191" t="s">
        <v>565</v>
      </c>
      <c r="H191" t="s">
        <v>44</v>
      </c>
      <c r="I191" t="s">
        <v>45</v>
      </c>
      <c r="J191" t="s">
        <v>46</v>
      </c>
      <c r="K191" t="s">
        <v>28</v>
      </c>
      <c r="L191">
        <v>1</v>
      </c>
      <c r="M191">
        <v>11254</v>
      </c>
      <c r="N191">
        <v>14254</v>
      </c>
      <c r="O191">
        <v>0.05</v>
      </c>
      <c r="P191">
        <v>14254</v>
      </c>
      <c r="Q191">
        <v>3000</v>
      </c>
      <c r="R191">
        <v>4</v>
      </c>
    </row>
    <row r="192" spans="1:18" x14ac:dyDescent="0.25">
      <c r="A192" t="s">
        <v>469</v>
      </c>
      <c r="B192" t="s">
        <v>148</v>
      </c>
      <c r="C192" t="s">
        <v>77</v>
      </c>
      <c r="D192" t="s">
        <v>78</v>
      </c>
      <c r="E192" t="s">
        <v>64</v>
      </c>
      <c r="F192" t="s">
        <v>23</v>
      </c>
      <c r="G192" t="s">
        <v>566</v>
      </c>
      <c r="H192" t="s">
        <v>44</v>
      </c>
      <c r="I192" t="s">
        <v>45</v>
      </c>
      <c r="J192" t="s">
        <v>58</v>
      </c>
      <c r="K192" t="s">
        <v>36</v>
      </c>
      <c r="L192">
        <v>7</v>
      </c>
      <c r="M192">
        <v>3913</v>
      </c>
      <c r="N192">
        <v>4575</v>
      </c>
      <c r="O192">
        <v>0.04</v>
      </c>
      <c r="P192">
        <v>32025</v>
      </c>
      <c r="Q192">
        <v>4634</v>
      </c>
      <c r="R192">
        <v>5</v>
      </c>
    </row>
    <row r="193" spans="1:18" x14ac:dyDescent="0.25">
      <c r="A193" t="s">
        <v>567</v>
      </c>
      <c r="B193" t="s">
        <v>568</v>
      </c>
      <c r="C193" t="s">
        <v>62</v>
      </c>
      <c r="D193" t="s">
        <v>63</v>
      </c>
      <c r="E193" t="s">
        <v>64</v>
      </c>
      <c r="F193" t="s">
        <v>98</v>
      </c>
      <c r="G193" t="s">
        <v>569</v>
      </c>
      <c r="H193" t="s">
        <v>44</v>
      </c>
      <c r="I193" t="s">
        <v>45</v>
      </c>
      <c r="J193" t="s">
        <v>27</v>
      </c>
      <c r="K193" t="s">
        <v>54</v>
      </c>
      <c r="L193">
        <v>7</v>
      </c>
      <c r="M193">
        <v>13656</v>
      </c>
      <c r="N193">
        <v>16996</v>
      </c>
      <c r="O193">
        <v>0.04</v>
      </c>
      <c r="P193">
        <v>118972</v>
      </c>
      <c r="Q193">
        <v>23380</v>
      </c>
    </row>
    <row r="194" spans="1:18" x14ac:dyDescent="0.25">
      <c r="A194" t="s">
        <v>570</v>
      </c>
      <c r="B194" t="s">
        <v>571</v>
      </c>
      <c r="C194" t="s">
        <v>106</v>
      </c>
      <c r="D194" t="s">
        <v>107</v>
      </c>
      <c r="E194" t="s">
        <v>41</v>
      </c>
      <c r="F194" t="s">
        <v>73</v>
      </c>
      <c r="G194" t="s">
        <v>572</v>
      </c>
      <c r="H194" t="s">
        <v>25</v>
      </c>
      <c r="I194" t="s">
        <v>26</v>
      </c>
      <c r="J194" t="s">
        <v>58</v>
      </c>
      <c r="K194" t="s">
        <v>28</v>
      </c>
      <c r="L194">
        <v>8</v>
      </c>
      <c r="M194">
        <v>9645</v>
      </c>
      <c r="N194">
        <v>15467</v>
      </c>
      <c r="O194">
        <v>0.02</v>
      </c>
      <c r="P194">
        <v>123736</v>
      </c>
      <c r="Q194">
        <v>46576</v>
      </c>
      <c r="R194">
        <v>4</v>
      </c>
    </row>
    <row r="195" spans="1:18" x14ac:dyDescent="0.25">
      <c r="A195" t="s">
        <v>320</v>
      </c>
      <c r="B195" t="s">
        <v>573</v>
      </c>
      <c r="C195" t="s">
        <v>131</v>
      </c>
      <c r="D195" t="s">
        <v>132</v>
      </c>
      <c r="E195" t="s">
        <v>64</v>
      </c>
      <c r="F195" t="s">
        <v>92</v>
      </c>
      <c r="G195" t="s">
        <v>574</v>
      </c>
      <c r="H195" t="s">
        <v>44</v>
      </c>
      <c r="I195" t="s">
        <v>45</v>
      </c>
      <c r="J195" t="s">
        <v>75</v>
      </c>
      <c r="K195" t="s">
        <v>59</v>
      </c>
      <c r="L195">
        <v>6</v>
      </c>
      <c r="M195">
        <v>14718</v>
      </c>
      <c r="N195">
        <v>21898</v>
      </c>
      <c r="O195">
        <v>0</v>
      </c>
      <c r="P195">
        <v>131388</v>
      </c>
      <c r="Q195">
        <v>43080</v>
      </c>
      <c r="R195">
        <v>2</v>
      </c>
    </row>
    <row r="196" spans="1:18" x14ac:dyDescent="0.25">
      <c r="A196" t="s">
        <v>575</v>
      </c>
      <c r="B196" t="s">
        <v>199</v>
      </c>
      <c r="C196" t="s">
        <v>131</v>
      </c>
      <c r="D196" t="s">
        <v>132</v>
      </c>
      <c r="E196" t="s">
        <v>64</v>
      </c>
      <c r="G196" t="s">
        <v>576</v>
      </c>
      <c r="H196" t="s">
        <v>25</v>
      </c>
      <c r="I196" t="s">
        <v>35</v>
      </c>
      <c r="J196" t="s">
        <v>53</v>
      </c>
      <c r="K196" t="s">
        <v>28</v>
      </c>
      <c r="L196">
        <v>1</v>
      </c>
      <c r="M196">
        <v>7129</v>
      </c>
      <c r="N196">
        <v>8786</v>
      </c>
      <c r="O196">
        <v>0.1</v>
      </c>
      <c r="P196">
        <v>8786</v>
      </c>
      <c r="Q196">
        <v>1657</v>
      </c>
      <c r="R196">
        <v>2</v>
      </c>
    </row>
    <row r="197" spans="1:18" x14ac:dyDescent="0.25">
      <c r="A197" t="s">
        <v>434</v>
      </c>
      <c r="B197" t="s">
        <v>577</v>
      </c>
      <c r="C197" t="s">
        <v>82</v>
      </c>
      <c r="D197" t="s">
        <v>83</v>
      </c>
      <c r="E197" t="s">
        <v>51</v>
      </c>
      <c r="F197" t="s">
        <v>23</v>
      </c>
      <c r="G197" t="s">
        <v>578</v>
      </c>
      <c r="H197" t="s">
        <v>44</v>
      </c>
      <c r="I197" t="s">
        <v>35</v>
      </c>
      <c r="J197" t="s">
        <v>75</v>
      </c>
      <c r="K197" t="s">
        <v>36</v>
      </c>
      <c r="L197">
        <v>2</v>
      </c>
      <c r="M197">
        <v>4769</v>
      </c>
      <c r="N197">
        <v>10033</v>
      </c>
      <c r="O197">
        <v>0</v>
      </c>
      <c r="P197">
        <v>20066</v>
      </c>
      <c r="Q197">
        <v>10528</v>
      </c>
    </row>
    <row r="198" spans="1:18" x14ac:dyDescent="0.25">
      <c r="A198" t="s">
        <v>579</v>
      </c>
      <c r="B198" t="s">
        <v>580</v>
      </c>
      <c r="C198" t="s">
        <v>149</v>
      </c>
      <c r="D198" t="s">
        <v>150</v>
      </c>
      <c r="E198" t="s">
        <v>51</v>
      </c>
      <c r="F198" t="s">
        <v>98</v>
      </c>
      <c r="G198" t="s">
        <v>581</v>
      </c>
      <c r="H198" t="s">
        <v>44</v>
      </c>
      <c r="I198" t="s">
        <v>45</v>
      </c>
      <c r="J198" t="s">
        <v>75</v>
      </c>
      <c r="K198" t="s">
        <v>54</v>
      </c>
      <c r="L198">
        <v>5</v>
      </c>
      <c r="M198">
        <v>9338</v>
      </c>
      <c r="N198">
        <v>10565</v>
      </c>
      <c r="O198">
        <v>0.05</v>
      </c>
      <c r="P198">
        <v>52825</v>
      </c>
      <c r="Q198">
        <v>6135</v>
      </c>
      <c r="R198">
        <v>4</v>
      </c>
    </row>
    <row r="199" spans="1:18" x14ac:dyDescent="0.25">
      <c r="A199" t="s">
        <v>203</v>
      </c>
      <c r="B199" t="s">
        <v>582</v>
      </c>
      <c r="C199" t="s">
        <v>96</v>
      </c>
      <c r="D199" t="s">
        <v>97</v>
      </c>
      <c r="E199" t="s">
        <v>51</v>
      </c>
      <c r="G199" t="s">
        <v>183</v>
      </c>
      <c r="H199" t="s">
        <v>44</v>
      </c>
      <c r="I199" t="s">
        <v>26</v>
      </c>
      <c r="J199" t="s">
        <v>58</v>
      </c>
      <c r="K199" t="s">
        <v>28</v>
      </c>
      <c r="L199">
        <v>6</v>
      </c>
      <c r="M199">
        <v>6400</v>
      </c>
      <c r="N199">
        <v>14154</v>
      </c>
      <c r="O199">
        <v>0.1</v>
      </c>
      <c r="P199">
        <v>84924</v>
      </c>
      <c r="Q199">
        <v>46524</v>
      </c>
      <c r="R199">
        <v>2</v>
      </c>
    </row>
    <row r="200" spans="1:18" x14ac:dyDescent="0.25">
      <c r="A200" t="s">
        <v>419</v>
      </c>
      <c r="B200" t="s">
        <v>583</v>
      </c>
      <c r="C200" t="s">
        <v>117</v>
      </c>
      <c r="D200" t="s">
        <v>118</v>
      </c>
      <c r="E200" t="s">
        <v>41</v>
      </c>
      <c r="F200" t="s">
        <v>42</v>
      </c>
      <c r="G200" t="s">
        <v>584</v>
      </c>
      <c r="H200" t="s">
        <v>44</v>
      </c>
      <c r="I200" t="s">
        <v>26</v>
      </c>
      <c r="J200" t="s">
        <v>103</v>
      </c>
      <c r="K200" t="s">
        <v>28</v>
      </c>
      <c r="L200">
        <v>7</v>
      </c>
      <c r="M200">
        <v>6707</v>
      </c>
      <c r="N200">
        <v>10560</v>
      </c>
      <c r="O200">
        <v>0</v>
      </c>
      <c r="P200">
        <v>73920</v>
      </c>
      <c r="Q200">
        <v>26971</v>
      </c>
      <c r="R200">
        <v>3</v>
      </c>
    </row>
    <row r="201" spans="1:18" x14ac:dyDescent="0.25">
      <c r="A201" t="s">
        <v>18</v>
      </c>
      <c r="B201" t="s">
        <v>204</v>
      </c>
      <c r="C201" t="s">
        <v>117</v>
      </c>
      <c r="D201" t="s">
        <v>118</v>
      </c>
      <c r="E201" t="s">
        <v>41</v>
      </c>
      <c r="F201" t="s">
        <v>23</v>
      </c>
      <c r="G201" t="s">
        <v>585</v>
      </c>
      <c r="H201" t="s">
        <v>44</v>
      </c>
      <c r="I201" t="s">
        <v>35</v>
      </c>
      <c r="J201" t="s">
        <v>103</v>
      </c>
      <c r="K201" t="s">
        <v>28</v>
      </c>
      <c r="L201">
        <v>6</v>
      </c>
      <c r="M201">
        <v>13516</v>
      </c>
      <c r="N201">
        <v>21104</v>
      </c>
      <c r="O201">
        <v>0.02</v>
      </c>
      <c r="P201">
        <v>126624</v>
      </c>
      <c r="Q201">
        <v>45528</v>
      </c>
    </row>
    <row r="202" spans="1:18" x14ac:dyDescent="0.25">
      <c r="A202" t="s">
        <v>586</v>
      </c>
      <c r="B202" t="s">
        <v>587</v>
      </c>
      <c r="C202" t="s">
        <v>96</v>
      </c>
      <c r="D202" t="s">
        <v>97</v>
      </c>
      <c r="E202" t="s">
        <v>51</v>
      </c>
      <c r="G202" t="s">
        <v>111</v>
      </c>
      <c r="H202" t="s">
        <v>44</v>
      </c>
      <c r="I202" t="s">
        <v>26</v>
      </c>
      <c r="J202" t="s">
        <v>103</v>
      </c>
      <c r="K202" t="s">
        <v>36</v>
      </c>
      <c r="L202">
        <v>3</v>
      </c>
      <c r="M202">
        <v>4382</v>
      </c>
      <c r="N202">
        <v>6250</v>
      </c>
      <c r="O202">
        <v>0.04</v>
      </c>
      <c r="P202">
        <v>18750</v>
      </c>
      <c r="Q202">
        <v>5604</v>
      </c>
      <c r="R202">
        <v>4</v>
      </c>
    </row>
    <row r="203" spans="1:18" x14ac:dyDescent="0.25">
      <c r="A203" t="s">
        <v>362</v>
      </c>
      <c r="B203" t="s">
        <v>588</v>
      </c>
      <c r="C203" t="s">
        <v>141</v>
      </c>
      <c r="D203" t="s">
        <v>142</v>
      </c>
      <c r="E203" t="s">
        <v>51</v>
      </c>
      <c r="F203" t="s">
        <v>92</v>
      </c>
      <c r="G203" t="s">
        <v>443</v>
      </c>
      <c r="H203" t="s">
        <v>25</v>
      </c>
      <c r="I203" t="s">
        <v>35</v>
      </c>
      <c r="J203" t="s">
        <v>58</v>
      </c>
      <c r="K203" t="s">
        <v>28</v>
      </c>
      <c r="L203">
        <v>2</v>
      </c>
      <c r="M203">
        <v>3583</v>
      </c>
      <c r="N203">
        <v>10611</v>
      </c>
      <c r="O203">
        <v>0.1</v>
      </c>
      <c r="P203">
        <v>21222</v>
      </c>
      <c r="Q203">
        <v>14056</v>
      </c>
      <c r="R203">
        <v>1</v>
      </c>
    </row>
    <row r="204" spans="1:18" x14ac:dyDescent="0.25">
      <c r="A204" t="s">
        <v>589</v>
      </c>
      <c r="B204" t="s">
        <v>590</v>
      </c>
      <c r="C204" t="s">
        <v>62</v>
      </c>
      <c r="D204" t="s">
        <v>63</v>
      </c>
      <c r="E204" t="s">
        <v>64</v>
      </c>
      <c r="F204" t="s">
        <v>98</v>
      </c>
      <c r="G204" t="s">
        <v>591</v>
      </c>
      <c r="H204" t="s">
        <v>44</v>
      </c>
      <c r="I204" t="s">
        <v>26</v>
      </c>
      <c r="J204" t="s">
        <v>75</v>
      </c>
      <c r="K204" t="s">
        <v>59</v>
      </c>
      <c r="L204">
        <v>7</v>
      </c>
      <c r="M204">
        <v>11711</v>
      </c>
      <c r="N204">
        <v>14742</v>
      </c>
      <c r="O204">
        <v>0.02</v>
      </c>
      <c r="P204">
        <v>103194</v>
      </c>
      <c r="Q204">
        <v>21217</v>
      </c>
    </row>
    <row r="205" spans="1:18" x14ac:dyDescent="0.25">
      <c r="A205" t="s">
        <v>567</v>
      </c>
      <c r="B205" t="s">
        <v>592</v>
      </c>
      <c r="C205" t="s">
        <v>87</v>
      </c>
      <c r="D205" t="s">
        <v>88</v>
      </c>
      <c r="E205" t="s">
        <v>33</v>
      </c>
      <c r="F205" t="s">
        <v>73</v>
      </c>
      <c r="G205" t="s">
        <v>593</v>
      </c>
      <c r="H205" t="s">
        <v>25</v>
      </c>
      <c r="I205" t="s">
        <v>26</v>
      </c>
      <c r="J205" t="s">
        <v>75</v>
      </c>
      <c r="K205" t="s">
        <v>59</v>
      </c>
      <c r="L205">
        <v>6</v>
      </c>
      <c r="M205">
        <v>12254</v>
      </c>
      <c r="N205">
        <v>18720</v>
      </c>
      <c r="O205">
        <v>0.04</v>
      </c>
      <c r="P205">
        <v>112320</v>
      </c>
      <c r="Q205">
        <v>38796</v>
      </c>
      <c r="R205">
        <v>4</v>
      </c>
    </row>
    <row r="206" spans="1:18" x14ac:dyDescent="0.25">
      <c r="A206" t="s">
        <v>528</v>
      </c>
      <c r="B206" t="s">
        <v>594</v>
      </c>
      <c r="C206" t="s">
        <v>96</v>
      </c>
      <c r="D206" t="s">
        <v>97</v>
      </c>
      <c r="E206" t="s">
        <v>51</v>
      </c>
      <c r="G206" t="s">
        <v>595</v>
      </c>
      <c r="H206" t="s">
        <v>44</v>
      </c>
      <c r="I206" t="s">
        <v>45</v>
      </c>
      <c r="J206" t="s">
        <v>103</v>
      </c>
      <c r="K206" t="s">
        <v>36</v>
      </c>
      <c r="L206">
        <v>3</v>
      </c>
      <c r="M206">
        <v>4119</v>
      </c>
      <c r="N206">
        <v>8780</v>
      </c>
      <c r="O206">
        <v>0</v>
      </c>
      <c r="P206">
        <v>26340</v>
      </c>
      <c r="Q206">
        <v>13983</v>
      </c>
      <c r="R206">
        <v>5</v>
      </c>
    </row>
    <row r="207" spans="1:18" x14ac:dyDescent="0.25">
      <c r="A207" t="s">
        <v>596</v>
      </c>
      <c r="B207" t="s">
        <v>597</v>
      </c>
      <c r="C207" t="s">
        <v>117</v>
      </c>
      <c r="D207" t="s">
        <v>118</v>
      </c>
      <c r="E207" t="s">
        <v>41</v>
      </c>
      <c r="F207" t="s">
        <v>23</v>
      </c>
      <c r="G207" t="s">
        <v>598</v>
      </c>
      <c r="H207" t="s">
        <v>44</v>
      </c>
      <c r="I207" t="s">
        <v>26</v>
      </c>
      <c r="J207" t="s">
        <v>46</v>
      </c>
      <c r="K207" t="s">
        <v>36</v>
      </c>
      <c r="L207">
        <v>3</v>
      </c>
      <c r="M207">
        <v>6390</v>
      </c>
      <c r="N207">
        <v>12363</v>
      </c>
      <c r="O207">
        <v>0.05</v>
      </c>
      <c r="P207">
        <v>37089</v>
      </c>
      <c r="Q207">
        <v>17919</v>
      </c>
      <c r="R207">
        <v>2</v>
      </c>
    </row>
    <row r="208" spans="1:18" x14ac:dyDescent="0.25">
      <c r="A208" t="s">
        <v>372</v>
      </c>
      <c r="B208" t="s">
        <v>599</v>
      </c>
      <c r="C208" t="s">
        <v>149</v>
      </c>
      <c r="D208" t="s">
        <v>150</v>
      </c>
      <c r="E208" t="s">
        <v>51</v>
      </c>
      <c r="F208" t="s">
        <v>42</v>
      </c>
      <c r="G208" t="s">
        <v>600</v>
      </c>
      <c r="H208" t="s">
        <v>25</v>
      </c>
      <c r="I208" t="s">
        <v>26</v>
      </c>
      <c r="J208" t="s">
        <v>75</v>
      </c>
      <c r="K208" t="s">
        <v>59</v>
      </c>
      <c r="L208">
        <v>2</v>
      </c>
      <c r="M208">
        <v>10614</v>
      </c>
      <c r="N208">
        <v>18462</v>
      </c>
      <c r="O208">
        <v>0.1</v>
      </c>
      <c r="P208">
        <v>36924</v>
      </c>
      <c r="Q208">
        <v>15696</v>
      </c>
    </row>
    <row r="209" spans="1:18" x14ac:dyDescent="0.25">
      <c r="A209" t="s">
        <v>18</v>
      </c>
      <c r="B209" t="s">
        <v>601</v>
      </c>
      <c r="C209" t="s">
        <v>117</v>
      </c>
      <c r="D209" t="s">
        <v>118</v>
      </c>
      <c r="E209" t="s">
        <v>41</v>
      </c>
      <c r="F209" t="s">
        <v>98</v>
      </c>
      <c r="G209" t="s">
        <v>602</v>
      </c>
      <c r="H209" t="s">
        <v>44</v>
      </c>
      <c r="I209" t="s">
        <v>35</v>
      </c>
      <c r="J209" t="s">
        <v>103</v>
      </c>
      <c r="K209" t="s">
        <v>54</v>
      </c>
      <c r="L209">
        <v>1</v>
      </c>
      <c r="M209">
        <v>3145</v>
      </c>
      <c r="N209">
        <v>7324</v>
      </c>
      <c r="O209">
        <v>0.1</v>
      </c>
      <c r="P209">
        <v>7324</v>
      </c>
      <c r="Q209">
        <v>4179</v>
      </c>
      <c r="R209">
        <v>2</v>
      </c>
    </row>
    <row r="210" spans="1:18" x14ac:dyDescent="0.25">
      <c r="A210" t="s">
        <v>603</v>
      </c>
      <c r="B210" t="s">
        <v>604</v>
      </c>
      <c r="C210" t="s">
        <v>278</v>
      </c>
      <c r="D210" t="s">
        <v>279</v>
      </c>
      <c r="E210" t="s">
        <v>64</v>
      </c>
      <c r="F210" t="s">
        <v>92</v>
      </c>
      <c r="G210" t="s">
        <v>605</v>
      </c>
      <c r="H210" t="s">
        <v>44</v>
      </c>
      <c r="I210" t="s">
        <v>35</v>
      </c>
      <c r="J210" t="s">
        <v>27</v>
      </c>
      <c r="K210" t="s">
        <v>54</v>
      </c>
      <c r="L210">
        <v>3</v>
      </c>
      <c r="M210">
        <v>6686</v>
      </c>
      <c r="N210">
        <v>8093</v>
      </c>
      <c r="O210">
        <v>0.04</v>
      </c>
      <c r="P210">
        <v>24279</v>
      </c>
      <c r="Q210">
        <v>4221</v>
      </c>
    </row>
    <row r="211" spans="1:18" x14ac:dyDescent="0.25">
      <c r="A211" t="s">
        <v>606</v>
      </c>
      <c r="B211" t="s">
        <v>607</v>
      </c>
      <c r="C211" t="s">
        <v>106</v>
      </c>
      <c r="D211" t="s">
        <v>107</v>
      </c>
      <c r="E211" t="s">
        <v>41</v>
      </c>
      <c r="F211" t="s">
        <v>42</v>
      </c>
      <c r="G211" t="s">
        <v>65</v>
      </c>
      <c r="H211" t="s">
        <v>25</v>
      </c>
      <c r="I211" t="s">
        <v>26</v>
      </c>
      <c r="J211" t="s">
        <v>46</v>
      </c>
      <c r="K211" t="s">
        <v>28</v>
      </c>
      <c r="L211">
        <v>3</v>
      </c>
      <c r="M211">
        <v>1062</v>
      </c>
      <c r="N211">
        <v>6156</v>
      </c>
      <c r="O211">
        <v>0.1</v>
      </c>
      <c r="P211">
        <v>18468</v>
      </c>
      <c r="Q211">
        <v>15282</v>
      </c>
    </row>
    <row r="212" spans="1:18" x14ac:dyDescent="0.25">
      <c r="A212" t="s">
        <v>198</v>
      </c>
      <c r="B212" t="s">
        <v>608</v>
      </c>
      <c r="C212" t="s">
        <v>49</v>
      </c>
      <c r="D212" t="s">
        <v>50</v>
      </c>
      <c r="E212" t="s">
        <v>51</v>
      </c>
      <c r="F212" t="s">
        <v>92</v>
      </c>
      <c r="G212" t="s">
        <v>609</v>
      </c>
      <c r="H212" t="s">
        <v>25</v>
      </c>
      <c r="I212" t="s">
        <v>26</v>
      </c>
      <c r="J212" t="s">
        <v>120</v>
      </c>
      <c r="K212" t="s">
        <v>36</v>
      </c>
      <c r="L212">
        <v>8</v>
      </c>
      <c r="M212">
        <v>7354</v>
      </c>
      <c r="N212">
        <v>10190</v>
      </c>
      <c r="O212">
        <v>0.02</v>
      </c>
      <c r="P212">
        <v>81520</v>
      </c>
      <c r="Q212">
        <v>22688</v>
      </c>
      <c r="R212">
        <v>3</v>
      </c>
    </row>
    <row r="213" spans="1:18" x14ac:dyDescent="0.25">
      <c r="A213" t="s">
        <v>55</v>
      </c>
      <c r="B213" t="s">
        <v>297</v>
      </c>
      <c r="C213" t="s">
        <v>87</v>
      </c>
      <c r="D213" t="s">
        <v>88</v>
      </c>
      <c r="E213" t="s">
        <v>33</v>
      </c>
      <c r="F213" t="s">
        <v>42</v>
      </c>
      <c r="G213" t="s">
        <v>610</v>
      </c>
      <c r="H213" t="s">
        <v>44</v>
      </c>
      <c r="I213" t="s">
        <v>35</v>
      </c>
      <c r="J213" t="s">
        <v>53</v>
      </c>
      <c r="K213" t="s">
        <v>36</v>
      </c>
      <c r="L213">
        <v>8</v>
      </c>
      <c r="M213">
        <v>3924</v>
      </c>
      <c r="N213">
        <v>8820</v>
      </c>
      <c r="O213">
        <v>0</v>
      </c>
      <c r="P213">
        <v>70560</v>
      </c>
      <c r="Q213">
        <v>39168</v>
      </c>
      <c r="R213">
        <v>3</v>
      </c>
    </row>
    <row r="214" spans="1:18" x14ac:dyDescent="0.25">
      <c r="A214" t="s">
        <v>477</v>
      </c>
      <c r="B214" t="s">
        <v>611</v>
      </c>
      <c r="C214" t="s">
        <v>131</v>
      </c>
      <c r="D214" t="s">
        <v>132</v>
      </c>
      <c r="E214" t="s">
        <v>64</v>
      </c>
      <c r="G214" t="s">
        <v>612</v>
      </c>
      <c r="H214" t="s">
        <v>44</v>
      </c>
      <c r="I214" t="s">
        <v>35</v>
      </c>
      <c r="J214" t="s">
        <v>27</v>
      </c>
      <c r="K214" t="s">
        <v>54</v>
      </c>
      <c r="L214">
        <v>4</v>
      </c>
      <c r="M214">
        <v>11060</v>
      </c>
      <c r="N214">
        <v>17407</v>
      </c>
      <c r="O214">
        <v>0</v>
      </c>
      <c r="P214">
        <v>69628</v>
      </c>
      <c r="Q214">
        <v>25388</v>
      </c>
      <c r="R214">
        <v>4</v>
      </c>
    </row>
    <row r="215" spans="1:18" x14ac:dyDescent="0.25">
      <c r="A215" t="s">
        <v>90</v>
      </c>
      <c r="B215" t="s">
        <v>613</v>
      </c>
      <c r="C215" t="s">
        <v>141</v>
      </c>
      <c r="D215" t="s">
        <v>142</v>
      </c>
      <c r="E215" t="s">
        <v>51</v>
      </c>
      <c r="F215" t="s">
        <v>98</v>
      </c>
      <c r="G215" t="s">
        <v>614</v>
      </c>
      <c r="H215" t="s">
        <v>25</v>
      </c>
      <c r="I215" t="s">
        <v>35</v>
      </c>
      <c r="J215" t="s">
        <v>53</v>
      </c>
      <c r="K215" t="s">
        <v>59</v>
      </c>
      <c r="L215">
        <v>2</v>
      </c>
      <c r="M215">
        <v>11818</v>
      </c>
      <c r="N215">
        <v>16164</v>
      </c>
      <c r="O215">
        <v>0.1</v>
      </c>
      <c r="P215">
        <v>32328</v>
      </c>
      <c r="Q215">
        <v>8692</v>
      </c>
      <c r="R215">
        <v>3</v>
      </c>
    </row>
    <row r="216" spans="1:18" x14ac:dyDescent="0.25">
      <c r="A216" t="s">
        <v>615</v>
      </c>
      <c r="B216" t="s">
        <v>616</v>
      </c>
      <c r="C216" t="s">
        <v>39</v>
      </c>
      <c r="D216" t="s">
        <v>40</v>
      </c>
      <c r="E216" t="s">
        <v>41</v>
      </c>
      <c r="F216" t="s">
        <v>92</v>
      </c>
      <c r="G216" t="s">
        <v>617</v>
      </c>
      <c r="H216" t="s">
        <v>44</v>
      </c>
      <c r="I216" t="s">
        <v>26</v>
      </c>
      <c r="J216" t="s">
        <v>58</v>
      </c>
      <c r="K216" t="s">
        <v>28</v>
      </c>
      <c r="L216">
        <v>6</v>
      </c>
      <c r="M216">
        <v>7088</v>
      </c>
      <c r="N216">
        <v>12503</v>
      </c>
      <c r="O216">
        <v>0.05</v>
      </c>
      <c r="P216">
        <v>75018</v>
      </c>
      <c r="Q216">
        <v>32490</v>
      </c>
      <c r="R216">
        <v>3</v>
      </c>
    </row>
    <row r="217" spans="1:18" x14ac:dyDescent="0.25">
      <c r="A217" t="s">
        <v>542</v>
      </c>
      <c r="B217" t="s">
        <v>618</v>
      </c>
      <c r="C217" t="s">
        <v>49</v>
      </c>
      <c r="D217" t="s">
        <v>50</v>
      </c>
      <c r="E217" t="s">
        <v>51</v>
      </c>
      <c r="F217" t="s">
        <v>42</v>
      </c>
      <c r="G217" t="s">
        <v>591</v>
      </c>
      <c r="H217" t="s">
        <v>25</v>
      </c>
      <c r="I217" t="s">
        <v>45</v>
      </c>
      <c r="J217" t="s">
        <v>53</v>
      </c>
      <c r="K217" t="s">
        <v>36</v>
      </c>
      <c r="L217">
        <v>5</v>
      </c>
      <c r="M217">
        <v>7326</v>
      </c>
      <c r="N217">
        <v>8830</v>
      </c>
      <c r="O217">
        <v>0.1</v>
      </c>
      <c r="P217">
        <v>44150</v>
      </c>
      <c r="Q217">
        <v>7520</v>
      </c>
      <c r="R217">
        <v>4</v>
      </c>
    </row>
    <row r="218" spans="1:18" x14ac:dyDescent="0.25">
      <c r="A218" t="s">
        <v>327</v>
      </c>
      <c r="B218" t="s">
        <v>619</v>
      </c>
      <c r="C218" t="s">
        <v>31</v>
      </c>
      <c r="D218" t="s">
        <v>32</v>
      </c>
      <c r="E218" t="s">
        <v>33</v>
      </c>
      <c r="F218" t="s">
        <v>23</v>
      </c>
      <c r="G218" t="s">
        <v>620</v>
      </c>
      <c r="H218" t="s">
        <v>44</v>
      </c>
      <c r="I218" t="s">
        <v>45</v>
      </c>
      <c r="J218" t="s">
        <v>46</v>
      </c>
      <c r="K218" t="s">
        <v>36</v>
      </c>
      <c r="L218">
        <v>6</v>
      </c>
      <c r="M218">
        <v>12377</v>
      </c>
      <c r="N218">
        <v>19156</v>
      </c>
      <c r="O218">
        <v>0.04</v>
      </c>
      <c r="P218">
        <v>114936</v>
      </c>
      <c r="Q218">
        <v>40674</v>
      </c>
      <c r="R218">
        <v>2</v>
      </c>
    </row>
    <row r="219" spans="1:18" x14ac:dyDescent="0.25">
      <c r="A219" t="s">
        <v>621</v>
      </c>
      <c r="B219" t="s">
        <v>622</v>
      </c>
      <c r="C219" t="s">
        <v>149</v>
      </c>
      <c r="D219" t="s">
        <v>150</v>
      </c>
      <c r="E219" t="s">
        <v>51</v>
      </c>
      <c r="F219" t="s">
        <v>92</v>
      </c>
      <c r="G219" t="s">
        <v>623</v>
      </c>
      <c r="H219" t="s">
        <v>44</v>
      </c>
      <c r="I219" t="s">
        <v>45</v>
      </c>
      <c r="J219" t="s">
        <v>46</v>
      </c>
      <c r="K219" t="s">
        <v>36</v>
      </c>
      <c r="L219">
        <v>2</v>
      </c>
      <c r="M219">
        <v>12008</v>
      </c>
      <c r="N219">
        <v>17195</v>
      </c>
      <c r="O219">
        <v>0.04</v>
      </c>
      <c r="P219">
        <v>34390</v>
      </c>
      <c r="Q219">
        <v>10374</v>
      </c>
    </row>
    <row r="220" spans="1:18" x14ac:dyDescent="0.25">
      <c r="A220" t="s">
        <v>66</v>
      </c>
      <c r="B220" t="s">
        <v>624</v>
      </c>
      <c r="C220" t="s">
        <v>278</v>
      </c>
      <c r="D220" t="s">
        <v>279</v>
      </c>
      <c r="E220" t="s">
        <v>64</v>
      </c>
      <c r="F220" t="s">
        <v>23</v>
      </c>
      <c r="G220" t="s">
        <v>625</v>
      </c>
      <c r="H220" t="s">
        <v>25</v>
      </c>
      <c r="I220" t="s">
        <v>26</v>
      </c>
      <c r="J220" t="s">
        <v>58</v>
      </c>
      <c r="K220" t="s">
        <v>59</v>
      </c>
      <c r="L220">
        <v>1</v>
      </c>
      <c r="M220">
        <v>14413</v>
      </c>
      <c r="N220">
        <v>21626</v>
      </c>
      <c r="O220">
        <v>0.05</v>
      </c>
      <c r="P220">
        <v>21626</v>
      </c>
      <c r="Q220">
        <v>7213</v>
      </c>
      <c r="R220">
        <v>2</v>
      </c>
    </row>
    <row r="221" spans="1:18" x14ac:dyDescent="0.25">
      <c r="A221" t="s">
        <v>359</v>
      </c>
      <c r="B221" t="s">
        <v>626</v>
      </c>
      <c r="C221" t="s">
        <v>149</v>
      </c>
      <c r="D221" t="s">
        <v>150</v>
      </c>
      <c r="E221" t="s">
        <v>51</v>
      </c>
      <c r="F221" t="s">
        <v>98</v>
      </c>
      <c r="G221" t="s">
        <v>348</v>
      </c>
      <c r="H221" t="s">
        <v>44</v>
      </c>
      <c r="I221" t="s">
        <v>45</v>
      </c>
      <c r="J221" t="s">
        <v>53</v>
      </c>
      <c r="K221" t="s">
        <v>36</v>
      </c>
      <c r="L221">
        <v>2</v>
      </c>
      <c r="M221">
        <v>14941</v>
      </c>
      <c r="N221">
        <v>17556</v>
      </c>
      <c r="O221">
        <v>0.1</v>
      </c>
      <c r="P221">
        <v>35112</v>
      </c>
      <c r="Q221">
        <v>5230</v>
      </c>
      <c r="R221">
        <v>4</v>
      </c>
    </row>
    <row r="222" spans="1:18" x14ac:dyDescent="0.25">
      <c r="A222" t="s">
        <v>364</v>
      </c>
      <c r="B222" t="s">
        <v>627</v>
      </c>
      <c r="C222" t="s">
        <v>62</v>
      </c>
      <c r="D222" t="s">
        <v>63</v>
      </c>
      <c r="E222" t="s">
        <v>64</v>
      </c>
      <c r="F222" t="s">
        <v>23</v>
      </c>
      <c r="G222" t="s">
        <v>358</v>
      </c>
      <c r="H222" t="s">
        <v>44</v>
      </c>
      <c r="I222" t="s">
        <v>26</v>
      </c>
      <c r="J222" t="s">
        <v>58</v>
      </c>
      <c r="K222" t="s">
        <v>36</v>
      </c>
      <c r="L222">
        <v>7</v>
      </c>
      <c r="M222">
        <v>6277</v>
      </c>
      <c r="N222">
        <v>7286</v>
      </c>
      <c r="O222">
        <v>0.02</v>
      </c>
      <c r="P222">
        <v>51002</v>
      </c>
      <c r="Q222">
        <v>7063</v>
      </c>
    </row>
    <row r="223" spans="1:18" x14ac:dyDescent="0.25">
      <c r="A223" t="s">
        <v>531</v>
      </c>
      <c r="B223" t="s">
        <v>628</v>
      </c>
      <c r="C223" t="s">
        <v>96</v>
      </c>
      <c r="D223" t="s">
        <v>97</v>
      </c>
      <c r="E223" t="s">
        <v>51</v>
      </c>
      <c r="F223" t="s">
        <v>92</v>
      </c>
      <c r="G223" t="s">
        <v>466</v>
      </c>
      <c r="H223" t="s">
        <v>25</v>
      </c>
      <c r="I223" t="s">
        <v>35</v>
      </c>
      <c r="J223" t="s">
        <v>120</v>
      </c>
      <c r="K223" t="s">
        <v>54</v>
      </c>
      <c r="L223">
        <v>2</v>
      </c>
      <c r="M223">
        <v>5557</v>
      </c>
      <c r="N223">
        <v>6060</v>
      </c>
      <c r="O223">
        <v>0.02</v>
      </c>
      <c r="P223">
        <v>12120</v>
      </c>
      <c r="Q223">
        <v>1006</v>
      </c>
      <c r="R223">
        <v>2</v>
      </c>
    </row>
    <row r="224" spans="1:18" x14ac:dyDescent="0.25">
      <c r="A224" t="s">
        <v>551</v>
      </c>
      <c r="B224" t="s">
        <v>629</v>
      </c>
      <c r="C224" t="s">
        <v>62</v>
      </c>
      <c r="D224" t="s">
        <v>63</v>
      </c>
      <c r="E224" t="s">
        <v>64</v>
      </c>
      <c r="G224" t="s">
        <v>630</v>
      </c>
      <c r="H224" t="s">
        <v>25</v>
      </c>
      <c r="I224" t="s">
        <v>35</v>
      </c>
      <c r="J224" t="s">
        <v>27</v>
      </c>
      <c r="K224" t="s">
        <v>28</v>
      </c>
      <c r="L224">
        <v>4</v>
      </c>
      <c r="M224">
        <v>11903</v>
      </c>
      <c r="N224">
        <v>17167</v>
      </c>
      <c r="O224">
        <v>0</v>
      </c>
      <c r="P224">
        <v>68668</v>
      </c>
      <c r="Q224">
        <v>21056</v>
      </c>
      <c r="R224">
        <v>3</v>
      </c>
    </row>
    <row r="225" spans="1:18" x14ac:dyDescent="0.25">
      <c r="A225" t="s">
        <v>447</v>
      </c>
      <c r="B225" t="s">
        <v>631</v>
      </c>
      <c r="C225" t="s">
        <v>39</v>
      </c>
      <c r="D225" t="s">
        <v>40</v>
      </c>
      <c r="E225" t="s">
        <v>41</v>
      </c>
      <c r="G225" t="s">
        <v>470</v>
      </c>
      <c r="H225" t="s">
        <v>25</v>
      </c>
      <c r="I225" t="s">
        <v>26</v>
      </c>
      <c r="J225" t="s">
        <v>120</v>
      </c>
      <c r="K225" t="s">
        <v>28</v>
      </c>
      <c r="L225">
        <v>1</v>
      </c>
      <c r="M225">
        <v>12103</v>
      </c>
      <c r="N225">
        <v>16398</v>
      </c>
      <c r="O225">
        <v>0</v>
      </c>
      <c r="P225">
        <v>16398</v>
      </c>
      <c r="Q225">
        <v>4295</v>
      </c>
      <c r="R225">
        <v>5</v>
      </c>
    </row>
    <row r="226" spans="1:18" x14ac:dyDescent="0.25">
      <c r="A226" t="s">
        <v>317</v>
      </c>
      <c r="B226" t="s">
        <v>632</v>
      </c>
      <c r="C226" t="s">
        <v>106</v>
      </c>
      <c r="D226" t="s">
        <v>107</v>
      </c>
      <c r="E226" t="s">
        <v>41</v>
      </c>
      <c r="F226" t="s">
        <v>42</v>
      </c>
      <c r="G226" t="s">
        <v>423</v>
      </c>
      <c r="H226" t="s">
        <v>44</v>
      </c>
      <c r="I226" t="s">
        <v>45</v>
      </c>
      <c r="J226" t="s">
        <v>46</v>
      </c>
      <c r="K226" t="s">
        <v>28</v>
      </c>
      <c r="L226">
        <v>2</v>
      </c>
      <c r="M226">
        <v>4671</v>
      </c>
      <c r="N226">
        <v>9567</v>
      </c>
      <c r="O226">
        <v>0.1</v>
      </c>
      <c r="P226">
        <v>19134</v>
      </c>
      <c r="Q226">
        <v>9792</v>
      </c>
      <c r="R226">
        <v>4</v>
      </c>
    </row>
    <row r="227" spans="1:18" x14ac:dyDescent="0.25">
      <c r="A227" t="s">
        <v>570</v>
      </c>
      <c r="B227" t="s">
        <v>633</v>
      </c>
      <c r="C227" t="s">
        <v>216</v>
      </c>
      <c r="D227" t="s">
        <v>217</v>
      </c>
      <c r="E227" t="s">
        <v>33</v>
      </c>
      <c r="F227" t="s">
        <v>23</v>
      </c>
      <c r="G227" t="s">
        <v>634</v>
      </c>
      <c r="H227" t="s">
        <v>25</v>
      </c>
      <c r="I227" t="s">
        <v>45</v>
      </c>
      <c r="J227" t="s">
        <v>46</v>
      </c>
      <c r="K227" t="s">
        <v>36</v>
      </c>
      <c r="L227">
        <v>6</v>
      </c>
      <c r="M227">
        <v>3821</v>
      </c>
      <c r="N227">
        <v>11789</v>
      </c>
      <c r="O227">
        <v>0.1</v>
      </c>
      <c r="P227">
        <v>70734</v>
      </c>
      <c r="Q227">
        <v>47808</v>
      </c>
      <c r="R227">
        <v>5</v>
      </c>
    </row>
    <row r="228" spans="1:18" x14ac:dyDescent="0.25">
      <c r="A228" t="s">
        <v>551</v>
      </c>
      <c r="B228" t="s">
        <v>635</v>
      </c>
      <c r="C228" t="s">
        <v>87</v>
      </c>
      <c r="D228" t="s">
        <v>88</v>
      </c>
      <c r="E228" t="s">
        <v>33</v>
      </c>
      <c r="F228" t="s">
        <v>23</v>
      </c>
      <c r="G228" t="s">
        <v>636</v>
      </c>
      <c r="H228" t="s">
        <v>44</v>
      </c>
      <c r="I228" t="s">
        <v>45</v>
      </c>
      <c r="J228" t="s">
        <v>53</v>
      </c>
      <c r="K228" t="s">
        <v>28</v>
      </c>
      <c r="L228">
        <v>3</v>
      </c>
      <c r="M228">
        <v>4716</v>
      </c>
      <c r="N228">
        <v>10198</v>
      </c>
      <c r="O228">
        <v>0.04</v>
      </c>
      <c r="P228">
        <v>30594</v>
      </c>
      <c r="Q228">
        <v>16446</v>
      </c>
      <c r="R228">
        <v>2</v>
      </c>
    </row>
    <row r="229" spans="1:18" x14ac:dyDescent="0.25">
      <c r="A229" t="s">
        <v>37</v>
      </c>
      <c r="B229" t="s">
        <v>637</v>
      </c>
      <c r="C229" t="s">
        <v>141</v>
      </c>
      <c r="D229" t="s">
        <v>142</v>
      </c>
      <c r="E229" t="s">
        <v>51</v>
      </c>
      <c r="F229" t="s">
        <v>98</v>
      </c>
      <c r="G229" t="s">
        <v>638</v>
      </c>
      <c r="H229" t="s">
        <v>44</v>
      </c>
      <c r="I229" t="s">
        <v>45</v>
      </c>
      <c r="J229" t="s">
        <v>120</v>
      </c>
      <c r="K229" t="s">
        <v>59</v>
      </c>
      <c r="L229">
        <v>5</v>
      </c>
      <c r="M229">
        <v>8544</v>
      </c>
      <c r="N229">
        <v>13130</v>
      </c>
      <c r="O229">
        <v>0.1</v>
      </c>
      <c r="P229">
        <v>65650</v>
      </c>
      <c r="Q229">
        <v>22930</v>
      </c>
      <c r="R229">
        <v>4</v>
      </c>
    </row>
    <row r="230" spans="1:18" x14ac:dyDescent="0.25">
      <c r="A230" t="s">
        <v>431</v>
      </c>
      <c r="B230" t="s">
        <v>639</v>
      </c>
      <c r="C230" t="s">
        <v>149</v>
      </c>
      <c r="D230" t="s">
        <v>150</v>
      </c>
      <c r="E230" t="s">
        <v>51</v>
      </c>
      <c r="F230" t="s">
        <v>73</v>
      </c>
      <c r="G230" t="s">
        <v>640</v>
      </c>
      <c r="H230" t="s">
        <v>25</v>
      </c>
      <c r="I230" t="s">
        <v>26</v>
      </c>
      <c r="J230" t="s">
        <v>120</v>
      </c>
      <c r="K230" t="s">
        <v>59</v>
      </c>
      <c r="L230">
        <v>2</v>
      </c>
      <c r="M230">
        <v>6457</v>
      </c>
      <c r="N230">
        <v>11805</v>
      </c>
      <c r="O230">
        <v>0.04</v>
      </c>
      <c r="P230">
        <v>23610</v>
      </c>
      <c r="Q230">
        <v>10696</v>
      </c>
      <c r="R230">
        <v>1</v>
      </c>
    </row>
    <row r="231" spans="1:18" x14ac:dyDescent="0.25">
      <c r="A231" t="s">
        <v>621</v>
      </c>
      <c r="B231" t="s">
        <v>641</v>
      </c>
      <c r="C231" t="s">
        <v>82</v>
      </c>
      <c r="D231" t="s">
        <v>83</v>
      </c>
      <c r="E231" t="s">
        <v>51</v>
      </c>
      <c r="G231" t="s">
        <v>392</v>
      </c>
      <c r="H231" t="s">
        <v>44</v>
      </c>
      <c r="I231" t="s">
        <v>35</v>
      </c>
      <c r="J231" t="s">
        <v>46</v>
      </c>
      <c r="K231" t="s">
        <v>59</v>
      </c>
      <c r="L231">
        <v>5</v>
      </c>
      <c r="M231">
        <v>12382</v>
      </c>
      <c r="N231">
        <v>18893</v>
      </c>
      <c r="O231">
        <v>0.05</v>
      </c>
      <c r="P231">
        <v>94465</v>
      </c>
      <c r="Q231">
        <v>32555</v>
      </c>
      <c r="R231">
        <v>4</v>
      </c>
    </row>
    <row r="232" spans="1:18" x14ac:dyDescent="0.25">
      <c r="A232" t="s">
        <v>333</v>
      </c>
      <c r="B232" t="s">
        <v>642</v>
      </c>
      <c r="C232" t="s">
        <v>82</v>
      </c>
      <c r="D232" t="s">
        <v>83</v>
      </c>
      <c r="E232" t="s">
        <v>51</v>
      </c>
      <c r="F232" t="s">
        <v>23</v>
      </c>
      <c r="G232" t="s">
        <v>643</v>
      </c>
      <c r="H232" t="s">
        <v>25</v>
      </c>
      <c r="I232" t="s">
        <v>45</v>
      </c>
      <c r="J232" t="s">
        <v>53</v>
      </c>
      <c r="K232" t="s">
        <v>54</v>
      </c>
      <c r="L232">
        <v>5</v>
      </c>
      <c r="M232">
        <v>12822</v>
      </c>
      <c r="N232">
        <v>18787</v>
      </c>
      <c r="O232">
        <v>0.02</v>
      </c>
      <c r="P232">
        <v>93935</v>
      </c>
      <c r="Q232">
        <v>29825</v>
      </c>
      <c r="R232">
        <v>3</v>
      </c>
    </row>
    <row r="233" spans="1:18" x14ac:dyDescent="0.25">
      <c r="A233" t="s">
        <v>206</v>
      </c>
      <c r="B233" t="s">
        <v>644</v>
      </c>
      <c r="C233" t="s">
        <v>71</v>
      </c>
      <c r="D233" t="s">
        <v>72</v>
      </c>
      <c r="E233" t="s">
        <v>64</v>
      </c>
      <c r="F233" t="s">
        <v>98</v>
      </c>
      <c r="G233" t="s">
        <v>645</v>
      </c>
      <c r="H233" t="s">
        <v>25</v>
      </c>
      <c r="I233" t="s">
        <v>45</v>
      </c>
      <c r="J233" t="s">
        <v>120</v>
      </c>
      <c r="K233" t="s">
        <v>28</v>
      </c>
      <c r="L233">
        <v>5</v>
      </c>
      <c r="M233">
        <v>10919</v>
      </c>
      <c r="N233">
        <v>15675</v>
      </c>
      <c r="O233">
        <v>0.05</v>
      </c>
      <c r="P233">
        <v>78375</v>
      </c>
      <c r="Q233">
        <v>23780</v>
      </c>
      <c r="R233">
        <v>4</v>
      </c>
    </row>
    <row r="234" spans="1:18" x14ac:dyDescent="0.25">
      <c r="A234" t="s">
        <v>646</v>
      </c>
      <c r="B234" t="s">
        <v>38</v>
      </c>
      <c r="C234" t="s">
        <v>241</v>
      </c>
      <c r="D234" t="s">
        <v>242</v>
      </c>
      <c r="E234" t="s">
        <v>22</v>
      </c>
      <c r="F234" t="s">
        <v>98</v>
      </c>
      <c r="G234" t="s">
        <v>647</v>
      </c>
      <c r="H234" t="s">
        <v>44</v>
      </c>
      <c r="I234" t="s">
        <v>35</v>
      </c>
      <c r="J234" t="s">
        <v>58</v>
      </c>
      <c r="K234" t="s">
        <v>59</v>
      </c>
      <c r="L234">
        <v>4</v>
      </c>
      <c r="M234">
        <v>4004</v>
      </c>
      <c r="N234">
        <v>8400</v>
      </c>
      <c r="O234">
        <v>0</v>
      </c>
      <c r="P234">
        <v>33600</v>
      </c>
      <c r="Q234">
        <v>17584</v>
      </c>
      <c r="R234">
        <v>3</v>
      </c>
    </row>
    <row r="235" spans="1:18" x14ac:dyDescent="0.25">
      <c r="A235" t="s">
        <v>648</v>
      </c>
      <c r="B235" t="s">
        <v>649</v>
      </c>
      <c r="C235" t="s">
        <v>141</v>
      </c>
      <c r="D235" t="s">
        <v>142</v>
      </c>
      <c r="E235" t="s">
        <v>51</v>
      </c>
      <c r="G235" t="s">
        <v>650</v>
      </c>
      <c r="H235" t="s">
        <v>44</v>
      </c>
      <c r="I235" t="s">
        <v>45</v>
      </c>
      <c r="J235" t="s">
        <v>46</v>
      </c>
      <c r="K235" t="s">
        <v>54</v>
      </c>
      <c r="L235">
        <v>5</v>
      </c>
      <c r="M235">
        <v>12426</v>
      </c>
      <c r="N235">
        <v>13176</v>
      </c>
      <c r="O235">
        <v>0.1</v>
      </c>
      <c r="P235">
        <v>65880</v>
      </c>
      <c r="Q235">
        <v>3750</v>
      </c>
      <c r="R235">
        <v>1</v>
      </c>
    </row>
    <row r="236" spans="1:18" x14ac:dyDescent="0.25">
      <c r="A236" t="s">
        <v>651</v>
      </c>
      <c r="B236" t="s">
        <v>652</v>
      </c>
      <c r="C236" t="s">
        <v>87</v>
      </c>
      <c r="D236" t="s">
        <v>88</v>
      </c>
      <c r="E236" t="s">
        <v>33</v>
      </c>
      <c r="F236" t="s">
        <v>73</v>
      </c>
      <c r="G236" t="s">
        <v>653</v>
      </c>
      <c r="H236" t="s">
        <v>25</v>
      </c>
      <c r="I236" t="s">
        <v>35</v>
      </c>
      <c r="J236" t="s">
        <v>120</v>
      </c>
      <c r="K236" t="s">
        <v>59</v>
      </c>
      <c r="L236">
        <v>8</v>
      </c>
      <c r="M236">
        <v>11549</v>
      </c>
      <c r="N236">
        <v>18310</v>
      </c>
      <c r="O236">
        <v>0.02</v>
      </c>
      <c r="P236">
        <v>146480</v>
      </c>
      <c r="Q236">
        <v>54088</v>
      </c>
      <c r="R236">
        <v>1</v>
      </c>
    </row>
    <row r="237" spans="1:18" x14ac:dyDescent="0.25">
      <c r="A237" t="s">
        <v>654</v>
      </c>
      <c r="B237" t="s">
        <v>655</v>
      </c>
      <c r="C237" t="s">
        <v>87</v>
      </c>
      <c r="D237" t="s">
        <v>88</v>
      </c>
      <c r="E237" t="s">
        <v>33</v>
      </c>
      <c r="F237" t="s">
        <v>23</v>
      </c>
      <c r="G237" t="s">
        <v>656</v>
      </c>
      <c r="H237" t="s">
        <v>44</v>
      </c>
      <c r="I237" t="s">
        <v>35</v>
      </c>
      <c r="J237" t="s">
        <v>120</v>
      </c>
      <c r="K237" t="s">
        <v>36</v>
      </c>
      <c r="L237">
        <v>8</v>
      </c>
      <c r="M237">
        <v>7883</v>
      </c>
      <c r="N237">
        <v>14345</v>
      </c>
      <c r="O237">
        <v>0.1</v>
      </c>
      <c r="P237">
        <v>114760</v>
      </c>
      <c r="Q237">
        <v>51696</v>
      </c>
      <c r="R237">
        <v>5</v>
      </c>
    </row>
    <row r="238" spans="1:18" x14ac:dyDescent="0.25">
      <c r="A238" t="s">
        <v>657</v>
      </c>
      <c r="B238" t="s">
        <v>658</v>
      </c>
      <c r="C238" t="s">
        <v>87</v>
      </c>
      <c r="D238" t="s">
        <v>88</v>
      </c>
      <c r="E238" t="s">
        <v>33</v>
      </c>
      <c r="G238" t="s">
        <v>659</v>
      </c>
      <c r="H238" t="s">
        <v>25</v>
      </c>
      <c r="I238" t="s">
        <v>45</v>
      </c>
      <c r="J238" t="s">
        <v>103</v>
      </c>
      <c r="K238" t="s">
        <v>59</v>
      </c>
      <c r="L238">
        <v>5</v>
      </c>
      <c r="M238">
        <v>2595</v>
      </c>
      <c r="N238">
        <v>5150</v>
      </c>
      <c r="O238">
        <v>0.04</v>
      </c>
      <c r="P238">
        <v>25750</v>
      </c>
      <c r="Q238">
        <v>12775</v>
      </c>
      <c r="R238">
        <v>2</v>
      </c>
    </row>
    <row r="239" spans="1:18" x14ac:dyDescent="0.25">
      <c r="A239" t="s">
        <v>320</v>
      </c>
      <c r="B239" t="s">
        <v>660</v>
      </c>
      <c r="C239" t="s">
        <v>149</v>
      </c>
      <c r="D239" t="s">
        <v>150</v>
      </c>
      <c r="E239" t="s">
        <v>51</v>
      </c>
      <c r="F239" t="s">
        <v>42</v>
      </c>
      <c r="G239" t="s">
        <v>220</v>
      </c>
      <c r="H239" t="s">
        <v>25</v>
      </c>
      <c r="I239" t="s">
        <v>26</v>
      </c>
      <c r="J239" t="s">
        <v>58</v>
      </c>
      <c r="K239" t="s">
        <v>36</v>
      </c>
      <c r="L239">
        <v>4</v>
      </c>
      <c r="M239">
        <v>8218</v>
      </c>
      <c r="N239">
        <v>13054</v>
      </c>
      <c r="O239">
        <v>0.02</v>
      </c>
      <c r="P239">
        <v>52216</v>
      </c>
      <c r="Q239">
        <v>19344</v>
      </c>
      <c r="R239">
        <v>1</v>
      </c>
    </row>
    <row r="240" spans="1:18" x14ac:dyDescent="0.25">
      <c r="A240" t="s">
        <v>661</v>
      </c>
      <c r="B240" t="s">
        <v>662</v>
      </c>
      <c r="C240" t="s">
        <v>20</v>
      </c>
      <c r="D240" t="s">
        <v>21</v>
      </c>
      <c r="E240" t="s">
        <v>22</v>
      </c>
      <c r="F240" t="s">
        <v>92</v>
      </c>
      <c r="G240" t="s">
        <v>663</v>
      </c>
      <c r="H240" t="s">
        <v>25</v>
      </c>
      <c r="I240" t="s">
        <v>45</v>
      </c>
      <c r="J240" t="s">
        <v>27</v>
      </c>
      <c r="K240" t="s">
        <v>36</v>
      </c>
      <c r="L240">
        <v>5</v>
      </c>
      <c r="M240">
        <v>3241</v>
      </c>
      <c r="N240">
        <v>4239</v>
      </c>
      <c r="O240">
        <v>0.05</v>
      </c>
      <c r="P240">
        <v>21195</v>
      </c>
      <c r="Q240">
        <v>4990</v>
      </c>
      <c r="R240">
        <v>1</v>
      </c>
    </row>
    <row r="241" spans="1:18" x14ac:dyDescent="0.25">
      <c r="A241" t="s">
        <v>496</v>
      </c>
      <c r="B241" t="s">
        <v>664</v>
      </c>
      <c r="C241" t="s">
        <v>31</v>
      </c>
      <c r="D241" t="s">
        <v>32</v>
      </c>
      <c r="E241" t="s">
        <v>33</v>
      </c>
      <c r="F241" t="s">
        <v>42</v>
      </c>
      <c r="G241" t="s">
        <v>665</v>
      </c>
      <c r="H241" t="s">
        <v>44</v>
      </c>
      <c r="I241" t="s">
        <v>35</v>
      </c>
      <c r="J241" t="s">
        <v>27</v>
      </c>
      <c r="K241" t="s">
        <v>36</v>
      </c>
      <c r="L241">
        <v>6</v>
      </c>
      <c r="M241">
        <v>9827</v>
      </c>
      <c r="N241">
        <v>12584</v>
      </c>
      <c r="O241">
        <v>0</v>
      </c>
      <c r="P241">
        <v>75504</v>
      </c>
      <c r="Q241">
        <v>16542</v>
      </c>
      <c r="R241">
        <v>1</v>
      </c>
    </row>
    <row r="242" spans="1:18" x14ac:dyDescent="0.25">
      <c r="A242" t="s">
        <v>666</v>
      </c>
      <c r="B242" t="s">
        <v>667</v>
      </c>
      <c r="C242" t="s">
        <v>20</v>
      </c>
      <c r="D242" t="s">
        <v>21</v>
      </c>
      <c r="E242" t="s">
        <v>22</v>
      </c>
      <c r="F242" t="s">
        <v>23</v>
      </c>
      <c r="G242" t="s">
        <v>668</v>
      </c>
      <c r="H242" t="s">
        <v>44</v>
      </c>
      <c r="I242" t="s">
        <v>26</v>
      </c>
      <c r="J242" t="s">
        <v>75</v>
      </c>
      <c r="K242" t="s">
        <v>59</v>
      </c>
      <c r="L242">
        <v>4</v>
      </c>
      <c r="M242">
        <v>12568</v>
      </c>
      <c r="N242">
        <v>17699</v>
      </c>
      <c r="O242">
        <v>0.05</v>
      </c>
      <c r="P242">
        <v>70796</v>
      </c>
      <c r="Q242">
        <v>20524</v>
      </c>
      <c r="R242">
        <v>2</v>
      </c>
    </row>
    <row r="243" spans="1:18" x14ac:dyDescent="0.25">
      <c r="A243" t="s">
        <v>646</v>
      </c>
      <c r="B243" t="s">
        <v>669</v>
      </c>
      <c r="C243" t="s">
        <v>82</v>
      </c>
      <c r="D243" t="s">
        <v>83</v>
      </c>
      <c r="E243" t="s">
        <v>51</v>
      </c>
      <c r="F243" t="s">
        <v>73</v>
      </c>
      <c r="G243" t="s">
        <v>670</v>
      </c>
      <c r="H243" t="s">
        <v>44</v>
      </c>
      <c r="I243" t="s">
        <v>45</v>
      </c>
      <c r="J243" t="s">
        <v>27</v>
      </c>
      <c r="K243" t="s">
        <v>28</v>
      </c>
      <c r="L243">
        <v>8</v>
      </c>
      <c r="M243">
        <v>4862</v>
      </c>
      <c r="N243">
        <v>8091</v>
      </c>
      <c r="O243">
        <v>0.1</v>
      </c>
      <c r="P243">
        <v>64728</v>
      </c>
      <c r="Q243">
        <v>25832</v>
      </c>
      <c r="R243">
        <v>3</v>
      </c>
    </row>
    <row r="244" spans="1:18" x14ac:dyDescent="0.25">
      <c r="A244" t="s">
        <v>671</v>
      </c>
      <c r="B244" t="s">
        <v>672</v>
      </c>
      <c r="C244" t="s">
        <v>141</v>
      </c>
      <c r="D244" t="s">
        <v>142</v>
      </c>
      <c r="E244" t="s">
        <v>51</v>
      </c>
      <c r="F244" t="s">
        <v>98</v>
      </c>
      <c r="G244" t="s">
        <v>673</v>
      </c>
      <c r="H244" t="s">
        <v>25</v>
      </c>
      <c r="I244" t="s">
        <v>26</v>
      </c>
      <c r="J244" t="s">
        <v>27</v>
      </c>
      <c r="K244" t="s">
        <v>28</v>
      </c>
      <c r="L244">
        <v>5</v>
      </c>
      <c r="M244">
        <v>5545</v>
      </c>
      <c r="N244">
        <v>12856</v>
      </c>
      <c r="O244">
        <v>0</v>
      </c>
      <c r="P244">
        <v>64280</v>
      </c>
      <c r="Q244">
        <v>36555</v>
      </c>
    </row>
    <row r="245" spans="1:18" x14ac:dyDescent="0.25">
      <c r="A245" t="s">
        <v>268</v>
      </c>
      <c r="B245" t="s">
        <v>674</v>
      </c>
      <c r="C245" t="s">
        <v>20</v>
      </c>
      <c r="D245" t="s">
        <v>21</v>
      </c>
      <c r="E245" t="s">
        <v>22</v>
      </c>
      <c r="F245" t="s">
        <v>92</v>
      </c>
      <c r="G245" t="s">
        <v>521</v>
      </c>
      <c r="H245" t="s">
        <v>44</v>
      </c>
      <c r="I245" t="s">
        <v>45</v>
      </c>
      <c r="J245" t="s">
        <v>27</v>
      </c>
      <c r="K245" t="s">
        <v>54</v>
      </c>
      <c r="L245">
        <v>1</v>
      </c>
      <c r="M245">
        <v>5703</v>
      </c>
      <c r="N245">
        <v>13524</v>
      </c>
      <c r="O245">
        <v>0.1</v>
      </c>
      <c r="P245">
        <v>13524</v>
      </c>
      <c r="Q245">
        <v>7821</v>
      </c>
    </row>
    <row r="246" spans="1:18" x14ac:dyDescent="0.25">
      <c r="A246" t="s">
        <v>675</v>
      </c>
      <c r="B246" t="s">
        <v>676</v>
      </c>
      <c r="C246" t="s">
        <v>77</v>
      </c>
      <c r="D246" t="s">
        <v>78</v>
      </c>
      <c r="E246" t="s">
        <v>64</v>
      </c>
      <c r="F246" t="s">
        <v>73</v>
      </c>
      <c r="G246" t="s">
        <v>677</v>
      </c>
      <c r="H246" t="s">
        <v>44</v>
      </c>
      <c r="I246" t="s">
        <v>35</v>
      </c>
      <c r="J246" t="s">
        <v>58</v>
      </c>
      <c r="K246" t="s">
        <v>54</v>
      </c>
      <c r="L246">
        <v>1</v>
      </c>
      <c r="M246">
        <v>13357</v>
      </c>
      <c r="N246">
        <v>18448</v>
      </c>
      <c r="O246">
        <v>0.04</v>
      </c>
      <c r="P246">
        <v>18448</v>
      </c>
      <c r="Q246">
        <v>5091</v>
      </c>
      <c r="R246">
        <v>5</v>
      </c>
    </row>
    <row r="247" spans="1:18" x14ac:dyDescent="0.25">
      <c r="A247" t="s">
        <v>678</v>
      </c>
      <c r="B247" t="s">
        <v>679</v>
      </c>
      <c r="C247" t="s">
        <v>71</v>
      </c>
      <c r="D247" t="s">
        <v>72</v>
      </c>
      <c r="E247" t="s">
        <v>64</v>
      </c>
      <c r="F247" t="s">
        <v>23</v>
      </c>
      <c r="G247" t="s">
        <v>157</v>
      </c>
      <c r="H247" t="s">
        <v>44</v>
      </c>
      <c r="I247" t="s">
        <v>26</v>
      </c>
      <c r="J247" t="s">
        <v>27</v>
      </c>
      <c r="K247" t="s">
        <v>59</v>
      </c>
      <c r="L247">
        <v>2</v>
      </c>
      <c r="M247">
        <v>5975</v>
      </c>
      <c r="N247">
        <v>11083</v>
      </c>
      <c r="O247">
        <v>0.04</v>
      </c>
      <c r="P247">
        <v>22166</v>
      </c>
      <c r="Q247">
        <v>10216</v>
      </c>
      <c r="R247">
        <v>1</v>
      </c>
    </row>
    <row r="248" spans="1:18" x14ac:dyDescent="0.25">
      <c r="A248" t="s">
        <v>164</v>
      </c>
      <c r="B248" t="s">
        <v>680</v>
      </c>
      <c r="C248" t="s">
        <v>71</v>
      </c>
      <c r="D248" t="s">
        <v>72</v>
      </c>
      <c r="E248" t="s">
        <v>64</v>
      </c>
      <c r="G248" t="s">
        <v>681</v>
      </c>
      <c r="H248" t="s">
        <v>25</v>
      </c>
      <c r="I248" t="s">
        <v>35</v>
      </c>
      <c r="J248" t="s">
        <v>120</v>
      </c>
      <c r="K248" t="s">
        <v>54</v>
      </c>
      <c r="L248">
        <v>7</v>
      </c>
      <c r="M248">
        <v>11161</v>
      </c>
      <c r="N248">
        <v>15241</v>
      </c>
      <c r="O248">
        <v>0.02</v>
      </c>
      <c r="P248">
        <v>106687</v>
      </c>
      <c r="Q248">
        <v>28560</v>
      </c>
      <c r="R248">
        <v>1</v>
      </c>
    </row>
    <row r="249" spans="1:18" x14ac:dyDescent="0.25">
      <c r="A249" t="s">
        <v>682</v>
      </c>
      <c r="B249" t="s">
        <v>683</v>
      </c>
      <c r="C249" t="s">
        <v>96</v>
      </c>
      <c r="D249" t="s">
        <v>97</v>
      </c>
      <c r="E249" t="s">
        <v>51</v>
      </c>
      <c r="G249" t="s">
        <v>684</v>
      </c>
      <c r="H249" t="s">
        <v>25</v>
      </c>
      <c r="I249" t="s">
        <v>35</v>
      </c>
      <c r="J249" t="s">
        <v>53</v>
      </c>
      <c r="K249" t="s">
        <v>54</v>
      </c>
      <c r="L249">
        <v>8</v>
      </c>
      <c r="M249">
        <v>2791</v>
      </c>
      <c r="N249">
        <v>9596</v>
      </c>
      <c r="O249">
        <v>0.05</v>
      </c>
      <c r="P249">
        <v>76768</v>
      </c>
      <c r="Q249">
        <v>54440</v>
      </c>
      <c r="R249">
        <v>1</v>
      </c>
    </row>
    <row r="250" spans="1:18" x14ac:dyDescent="0.25">
      <c r="A250" t="s">
        <v>646</v>
      </c>
      <c r="B250" t="s">
        <v>174</v>
      </c>
      <c r="C250" t="s">
        <v>82</v>
      </c>
      <c r="D250" t="s">
        <v>83</v>
      </c>
      <c r="E250" t="s">
        <v>51</v>
      </c>
      <c r="F250" t="s">
        <v>42</v>
      </c>
      <c r="G250" t="s">
        <v>685</v>
      </c>
      <c r="H250" t="s">
        <v>25</v>
      </c>
      <c r="I250" t="s">
        <v>45</v>
      </c>
      <c r="J250" t="s">
        <v>75</v>
      </c>
      <c r="K250" t="s">
        <v>54</v>
      </c>
      <c r="L250">
        <v>3</v>
      </c>
      <c r="M250">
        <v>13391</v>
      </c>
      <c r="N250">
        <v>20375</v>
      </c>
      <c r="O250">
        <v>0</v>
      </c>
      <c r="P250">
        <v>61125</v>
      </c>
      <c r="Q250">
        <v>20952</v>
      </c>
      <c r="R250">
        <v>5</v>
      </c>
    </row>
    <row r="251" spans="1:18" x14ac:dyDescent="0.25">
      <c r="A251" t="s">
        <v>206</v>
      </c>
      <c r="B251" t="s">
        <v>686</v>
      </c>
      <c r="C251" t="s">
        <v>49</v>
      </c>
      <c r="D251" t="s">
        <v>50</v>
      </c>
      <c r="E251" t="s">
        <v>51</v>
      </c>
      <c r="F251" t="s">
        <v>23</v>
      </c>
      <c r="G251" t="s">
        <v>687</v>
      </c>
      <c r="H251" t="s">
        <v>44</v>
      </c>
      <c r="I251" t="s">
        <v>45</v>
      </c>
      <c r="J251" t="s">
        <v>58</v>
      </c>
      <c r="K251" t="s">
        <v>54</v>
      </c>
      <c r="L251">
        <v>2</v>
      </c>
      <c r="M251">
        <v>7471</v>
      </c>
      <c r="N251">
        <v>14137</v>
      </c>
      <c r="O251">
        <v>0.1</v>
      </c>
      <c r="P251">
        <v>28274</v>
      </c>
      <c r="Q251">
        <v>13332</v>
      </c>
      <c r="R251">
        <v>5</v>
      </c>
    </row>
    <row r="252" spans="1:18" x14ac:dyDescent="0.25">
      <c r="A252" t="s">
        <v>688</v>
      </c>
      <c r="B252" t="s">
        <v>689</v>
      </c>
      <c r="C252" t="s">
        <v>216</v>
      </c>
      <c r="D252" t="s">
        <v>217</v>
      </c>
      <c r="E252" t="s">
        <v>33</v>
      </c>
      <c r="F252" t="s">
        <v>92</v>
      </c>
      <c r="G252" t="s">
        <v>690</v>
      </c>
      <c r="H252" t="s">
        <v>44</v>
      </c>
      <c r="I252" t="s">
        <v>26</v>
      </c>
      <c r="J252" t="s">
        <v>103</v>
      </c>
      <c r="K252" t="s">
        <v>28</v>
      </c>
      <c r="L252">
        <v>2</v>
      </c>
      <c r="M252">
        <v>4187</v>
      </c>
      <c r="N252">
        <v>11355</v>
      </c>
      <c r="O252">
        <v>0.02</v>
      </c>
      <c r="P252">
        <v>22710</v>
      </c>
      <c r="Q252">
        <v>14336</v>
      </c>
      <c r="R252">
        <v>1</v>
      </c>
    </row>
    <row r="253" spans="1:18" x14ac:dyDescent="0.25">
      <c r="A253" t="s">
        <v>378</v>
      </c>
      <c r="B253" t="s">
        <v>691</v>
      </c>
      <c r="C253" t="s">
        <v>71</v>
      </c>
      <c r="D253" t="s">
        <v>72</v>
      </c>
      <c r="E253" t="s">
        <v>64</v>
      </c>
      <c r="G253" t="s">
        <v>348</v>
      </c>
      <c r="H253" t="s">
        <v>25</v>
      </c>
      <c r="I253" t="s">
        <v>35</v>
      </c>
      <c r="J253" t="s">
        <v>75</v>
      </c>
      <c r="K253" t="s">
        <v>28</v>
      </c>
      <c r="L253">
        <v>6</v>
      </c>
      <c r="M253">
        <v>6316</v>
      </c>
      <c r="N253">
        <v>7057</v>
      </c>
      <c r="O253">
        <v>0.02</v>
      </c>
      <c r="P253">
        <v>42342</v>
      </c>
      <c r="Q253">
        <v>4446</v>
      </c>
      <c r="R253">
        <v>2</v>
      </c>
    </row>
    <row r="254" spans="1:18" x14ac:dyDescent="0.25">
      <c r="A254" t="s">
        <v>55</v>
      </c>
      <c r="B254" t="s">
        <v>692</v>
      </c>
      <c r="C254" t="s">
        <v>71</v>
      </c>
      <c r="D254" t="s">
        <v>72</v>
      </c>
      <c r="E254" t="s">
        <v>64</v>
      </c>
      <c r="F254" t="s">
        <v>73</v>
      </c>
      <c r="G254" t="s">
        <v>693</v>
      </c>
      <c r="H254" t="s">
        <v>25</v>
      </c>
      <c r="I254" t="s">
        <v>35</v>
      </c>
      <c r="J254" t="s">
        <v>27</v>
      </c>
      <c r="K254" t="s">
        <v>54</v>
      </c>
      <c r="L254">
        <v>5</v>
      </c>
      <c r="M254">
        <v>8525</v>
      </c>
      <c r="N254">
        <v>10617</v>
      </c>
      <c r="O254">
        <v>0.1</v>
      </c>
      <c r="P254">
        <v>53085</v>
      </c>
      <c r="Q254">
        <v>10460</v>
      </c>
    </row>
    <row r="255" spans="1:18" x14ac:dyDescent="0.25">
      <c r="A255" t="s">
        <v>444</v>
      </c>
      <c r="B255" t="s">
        <v>694</v>
      </c>
      <c r="C255" t="s">
        <v>241</v>
      </c>
      <c r="D255" t="s">
        <v>242</v>
      </c>
      <c r="E255" t="s">
        <v>22</v>
      </c>
      <c r="G255" t="s">
        <v>665</v>
      </c>
      <c r="H255" t="s">
        <v>44</v>
      </c>
      <c r="I255" t="s">
        <v>35</v>
      </c>
      <c r="J255" t="s">
        <v>120</v>
      </c>
      <c r="K255" t="s">
        <v>36</v>
      </c>
      <c r="L255">
        <v>1</v>
      </c>
      <c r="M255">
        <v>9007</v>
      </c>
      <c r="N255">
        <v>11968</v>
      </c>
      <c r="O255">
        <v>0.02</v>
      </c>
      <c r="P255">
        <v>11968</v>
      </c>
      <c r="Q255">
        <v>2961</v>
      </c>
    </row>
    <row r="256" spans="1:18" x14ac:dyDescent="0.25">
      <c r="A256" t="s">
        <v>688</v>
      </c>
      <c r="B256" t="s">
        <v>695</v>
      </c>
      <c r="C256" t="s">
        <v>131</v>
      </c>
      <c r="D256" t="s">
        <v>132</v>
      </c>
      <c r="E256" t="s">
        <v>64</v>
      </c>
      <c r="F256" t="s">
        <v>23</v>
      </c>
      <c r="G256" t="s">
        <v>696</v>
      </c>
      <c r="H256" t="s">
        <v>44</v>
      </c>
      <c r="I256" t="s">
        <v>35</v>
      </c>
      <c r="J256" t="s">
        <v>103</v>
      </c>
      <c r="K256" t="s">
        <v>54</v>
      </c>
      <c r="L256">
        <v>8</v>
      </c>
      <c r="M256">
        <v>11303</v>
      </c>
      <c r="N256">
        <v>16802</v>
      </c>
      <c r="O256">
        <v>0.02</v>
      </c>
      <c r="P256">
        <v>134416</v>
      </c>
      <c r="Q256">
        <v>43992</v>
      </c>
      <c r="R256">
        <v>3</v>
      </c>
    </row>
    <row r="257" spans="1:18" x14ac:dyDescent="0.25">
      <c r="A257" t="s">
        <v>60</v>
      </c>
      <c r="B257" t="s">
        <v>697</v>
      </c>
      <c r="C257" t="s">
        <v>20</v>
      </c>
      <c r="D257" t="s">
        <v>21</v>
      </c>
      <c r="E257" t="s">
        <v>22</v>
      </c>
      <c r="F257" t="s">
        <v>92</v>
      </c>
      <c r="G257" t="s">
        <v>698</v>
      </c>
      <c r="H257" t="s">
        <v>44</v>
      </c>
      <c r="I257" t="s">
        <v>26</v>
      </c>
      <c r="J257" t="s">
        <v>53</v>
      </c>
      <c r="K257" t="s">
        <v>54</v>
      </c>
      <c r="L257">
        <v>4</v>
      </c>
      <c r="M257">
        <v>6206</v>
      </c>
      <c r="N257">
        <v>10171</v>
      </c>
      <c r="O257">
        <v>0.02</v>
      </c>
      <c r="P257">
        <v>40684</v>
      </c>
      <c r="Q257">
        <v>15860</v>
      </c>
      <c r="R257">
        <v>1</v>
      </c>
    </row>
    <row r="258" spans="1:18" x14ac:dyDescent="0.25">
      <c r="A258" t="s">
        <v>554</v>
      </c>
      <c r="B258" t="s">
        <v>699</v>
      </c>
      <c r="C258" t="s">
        <v>106</v>
      </c>
      <c r="D258" t="s">
        <v>107</v>
      </c>
      <c r="E258" t="s">
        <v>41</v>
      </c>
      <c r="F258" t="s">
        <v>73</v>
      </c>
      <c r="G258" t="s">
        <v>343</v>
      </c>
      <c r="H258" t="s">
        <v>44</v>
      </c>
      <c r="I258" t="s">
        <v>26</v>
      </c>
      <c r="J258" t="s">
        <v>75</v>
      </c>
      <c r="K258" t="s">
        <v>28</v>
      </c>
      <c r="L258">
        <v>3</v>
      </c>
      <c r="M258">
        <v>13090</v>
      </c>
      <c r="N258">
        <v>15434</v>
      </c>
      <c r="O258">
        <v>0.05</v>
      </c>
      <c r="P258">
        <v>46302</v>
      </c>
      <c r="Q258">
        <v>7032</v>
      </c>
      <c r="R258">
        <v>5</v>
      </c>
    </row>
    <row r="259" spans="1:18" x14ac:dyDescent="0.25">
      <c r="A259" t="s">
        <v>700</v>
      </c>
      <c r="B259" t="s">
        <v>153</v>
      </c>
      <c r="C259" t="s">
        <v>71</v>
      </c>
      <c r="D259" t="s">
        <v>72</v>
      </c>
      <c r="E259" t="s">
        <v>64</v>
      </c>
      <c r="F259" t="s">
        <v>42</v>
      </c>
      <c r="G259" t="s">
        <v>701</v>
      </c>
      <c r="H259" t="s">
        <v>25</v>
      </c>
      <c r="I259" t="s">
        <v>35</v>
      </c>
      <c r="J259" t="s">
        <v>103</v>
      </c>
      <c r="K259" t="s">
        <v>54</v>
      </c>
      <c r="L259">
        <v>1</v>
      </c>
      <c r="M259">
        <v>14612</v>
      </c>
      <c r="N259">
        <v>16879</v>
      </c>
      <c r="O259">
        <v>0.02</v>
      </c>
      <c r="P259">
        <v>16879</v>
      </c>
      <c r="Q259">
        <v>2267</v>
      </c>
      <c r="R259">
        <v>2</v>
      </c>
    </row>
    <row r="260" spans="1:18" x14ac:dyDescent="0.25">
      <c r="A260" t="s">
        <v>702</v>
      </c>
      <c r="B260" t="s">
        <v>703</v>
      </c>
      <c r="C260" t="s">
        <v>31</v>
      </c>
      <c r="D260" t="s">
        <v>32</v>
      </c>
      <c r="E260" t="s">
        <v>33</v>
      </c>
      <c r="F260" t="s">
        <v>92</v>
      </c>
      <c r="G260" t="s">
        <v>704</v>
      </c>
      <c r="H260" t="s">
        <v>25</v>
      </c>
      <c r="I260" t="s">
        <v>35</v>
      </c>
      <c r="J260" t="s">
        <v>53</v>
      </c>
      <c r="K260" t="s">
        <v>54</v>
      </c>
      <c r="L260">
        <v>8</v>
      </c>
      <c r="M260">
        <v>9788</v>
      </c>
      <c r="N260">
        <v>15510</v>
      </c>
      <c r="O260">
        <v>0.05</v>
      </c>
      <c r="P260">
        <v>124080</v>
      </c>
      <c r="Q260">
        <v>45776</v>
      </c>
      <c r="R260">
        <v>4</v>
      </c>
    </row>
    <row r="261" spans="1:18" x14ac:dyDescent="0.25">
      <c r="A261" t="s">
        <v>419</v>
      </c>
      <c r="B261" t="s">
        <v>705</v>
      </c>
      <c r="C261" t="s">
        <v>106</v>
      </c>
      <c r="D261" t="s">
        <v>107</v>
      </c>
      <c r="E261" t="s">
        <v>41</v>
      </c>
      <c r="F261" t="s">
        <v>92</v>
      </c>
      <c r="G261" t="s">
        <v>706</v>
      </c>
      <c r="H261" t="s">
        <v>44</v>
      </c>
      <c r="I261" t="s">
        <v>35</v>
      </c>
      <c r="J261" t="s">
        <v>27</v>
      </c>
      <c r="K261" t="s">
        <v>54</v>
      </c>
      <c r="L261">
        <v>4</v>
      </c>
      <c r="M261">
        <v>1007</v>
      </c>
      <c r="N261">
        <v>6074</v>
      </c>
      <c r="O261">
        <v>0.05</v>
      </c>
      <c r="P261">
        <v>24296</v>
      </c>
      <c r="Q261">
        <v>20268</v>
      </c>
      <c r="R261">
        <v>5</v>
      </c>
    </row>
    <row r="262" spans="1:18" x14ac:dyDescent="0.25">
      <c r="A262" t="s">
        <v>707</v>
      </c>
      <c r="B262" t="s">
        <v>708</v>
      </c>
      <c r="C262" t="s">
        <v>20</v>
      </c>
      <c r="D262" t="s">
        <v>21</v>
      </c>
      <c r="E262" t="s">
        <v>22</v>
      </c>
      <c r="G262" t="s">
        <v>709</v>
      </c>
      <c r="H262" t="s">
        <v>25</v>
      </c>
      <c r="I262" t="s">
        <v>26</v>
      </c>
      <c r="J262" t="s">
        <v>58</v>
      </c>
      <c r="K262" t="s">
        <v>36</v>
      </c>
      <c r="L262">
        <v>2</v>
      </c>
      <c r="M262">
        <v>14064</v>
      </c>
      <c r="N262">
        <v>15811</v>
      </c>
      <c r="O262">
        <v>0.04</v>
      </c>
      <c r="P262">
        <v>31622</v>
      </c>
      <c r="Q262">
        <v>3494</v>
      </c>
    </row>
    <row r="263" spans="1:18" x14ac:dyDescent="0.25">
      <c r="A263" t="s">
        <v>710</v>
      </c>
      <c r="B263" t="s">
        <v>711</v>
      </c>
      <c r="C263" t="s">
        <v>82</v>
      </c>
      <c r="D263" t="s">
        <v>83</v>
      </c>
      <c r="E263" t="s">
        <v>51</v>
      </c>
      <c r="F263" t="s">
        <v>23</v>
      </c>
      <c r="G263" t="s">
        <v>712</v>
      </c>
      <c r="H263" t="s">
        <v>44</v>
      </c>
      <c r="I263" t="s">
        <v>35</v>
      </c>
      <c r="J263" t="s">
        <v>27</v>
      </c>
      <c r="K263" t="s">
        <v>59</v>
      </c>
      <c r="L263">
        <v>1</v>
      </c>
      <c r="M263">
        <v>10613</v>
      </c>
      <c r="N263">
        <v>13650</v>
      </c>
      <c r="O263">
        <v>0.05</v>
      </c>
      <c r="P263">
        <v>13650</v>
      </c>
      <c r="Q263">
        <v>3037</v>
      </c>
      <c r="R263">
        <v>3</v>
      </c>
    </row>
    <row r="264" spans="1:18" x14ac:dyDescent="0.25">
      <c r="A264" t="s">
        <v>427</v>
      </c>
      <c r="B264" t="s">
        <v>713</v>
      </c>
      <c r="C264" t="s">
        <v>117</v>
      </c>
      <c r="D264" t="s">
        <v>118</v>
      </c>
      <c r="E264" t="s">
        <v>41</v>
      </c>
      <c r="F264" t="s">
        <v>98</v>
      </c>
      <c r="G264" t="s">
        <v>714</v>
      </c>
      <c r="H264" t="s">
        <v>44</v>
      </c>
      <c r="I264" t="s">
        <v>26</v>
      </c>
      <c r="J264" t="s">
        <v>120</v>
      </c>
      <c r="K264" t="s">
        <v>36</v>
      </c>
      <c r="L264">
        <v>3</v>
      </c>
      <c r="M264">
        <v>4881</v>
      </c>
      <c r="N264">
        <v>11268</v>
      </c>
      <c r="O264">
        <v>0</v>
      </c>
      <c r="P264">
        <v>33804</v>
      </c>
      <c r="Q264">
        <v>19161</v>
      </c>
      <c r="R264">
        <v>2</v>
      </c>
    </row>
    <row r="265" spans="1:18" x14ac:dyDescent="0.25">
      <c r="A265" t="s">
        <v>715</v>
      </c>
      <c r="B265" t="s">
        <v>716</v>
      </c>
      <c r="C265" t="s">
        <v>96</v>
      </c>
      <c r="D265" t="s">
        <v>97</v>
      </c>
      <c r="E265" t="s">
        <v>51</v>
      </c>
      <c r="F265" t="s">
        <v>92</v>
      </c>
      <c r="G265" t="s">
        <v>74</v>
      </c>
      <c r="H265" t="s">
        <v>25</v>
      </c>
      <c r="I265" t="s">
        <v>26</v>
      </c>
      <c r="J265" t="s">
        <v>120</v>
      </c>
      <c r="K265" t="s">
        <v>59</v>
      </c>
      <c r="L265">
        <v>8</v>
      </c>
      <c r="M265">
        <v>7410</v>
      </c>
      <c r="N265">
        <v>9225</v>
      </c>
      <c r="O265">
        <v>0.04</v>
      </c>
      <c r="P265">
        <v>73800</v>
      </c>
      <c r="Q265">
        <v>14520</v>
      </c>
      <c r="R265">
        <v>4</v>
      </c>
    </row>
    <row r="266" spans="1:18" x14ac:dyDescent="0.25">
      <c r="A266" t="s">
        <v>717</v>
      </c>
      <c r="B266" t="s">
        <v>718</v>
      </c>
      <c r="C266" t="s">
        <v>141</v>
      </c>
      <c r="D266" t="s">
        <v>142</v>
      </c>
      <c r="E266" t="s">
        <v>51</v>
      </c>
      <c r="F266" t="s">
        <v>42</v>
      </c>
      <c r="G266" t="s">
        <v>719</v>
      </c>
      <c r="H266" t="s">
        <v>44</v>
      </c>
      <c r="I266" t="s">
        <v>45</v>
      </c>
      <c r="J266" t="s">
        <v>27</v>
      </c>
      <c r="K266" t="s">
        <v>59</v>
      </c>
      <c r="L266">
        <v>8</v>
      </c>
      <c r="M266">
        <v>2966</v>
      </c>
      <c r="N266">
        <v>7467</v>
      </c>
      <c r="O266">
        <v>0.05</v>
      </c>
      <c r="P266">
        <v>59736</v>
      </c>
      <c r="Q266">
        <v>36008</v>
      </c>
    </row>
    <row r="267" spans="1:18" x14ac:dyDescent="0.25">
      <c r="A267" t="s">
        <v>720</v>
      </c>
      <c r="B267" t="s">
        <v>721</v>
      </c>
      <c r="C267" t="s">
        <v>141</v>
      </c>
      <c r="D267" t="s">
        <v>142</v>
      </c>
      <c r="E267" t="s">
        <v>51</v>
      </c>
      <c r="G267" t="s">
        <v>722</v>
      </c>
      <c r="H267" t="s">
        <v>25</v>
      </c>
      <c r="I267" t="s">
        <v>45</v>
      </c>
      <c r="J267" t="s">
        <v>120</v>
      </c>
      <c r="K267" t="s">
        <v>59</v>
      </c>
      <c r="L267">
        <v>8</v>
      </c>
      <c r="M267">
        <v>11069</v>
      </c>
      <c r="N267">
        <v>17339</v>
      </c>
      <c r="O267">
        <v>0.1</v>
      </c>
      <c r="P267">
        <v>138712</v>
      </c>
      <c r="Q267">
        <v>50160</v>
      </c>
      <c r="R267">
        <v>3</v>
      </c>
    </row>
    <row r="268" spans="1:18" x14ac:dyDescent="0.25">
      <c r="A268" t="s">
        <v>189</v>
      </c>
      <c r="B268" t="s">
        <v>723</v>
      </c>
      <c r="C268" t="s">
        <v>278</v>
      </c>
      <c r="D268" t="s">
        <v>279</v>
      </c>
      <c r="E268" t="s">
        <v>64</v>
      </c>
      <c r="F268" t="s">
        <v>73</v>
      </c>
      <c r="G268" t="s">
        <v>724</v>
      </c>
      <c r="H268" t="s">
        <v>44</v>
      </c>
      <c r="I268" t="s">
        <v>45</v>
      </c>
      <c r="J268" t="s">
        <v>75</v>
      </c>
      <c r="K268" t="s">
        <v>54</v>
      </c>
      <c r="L268">
        <v>5</v>
      </c>
      <c r="M268">
        <v>12257</v>
      </c>
      <c r="N268">
        <v>15139</v>
      </c>
      <c r="O268">
        <v>0.05</v>
      </c>
      <c r="P268">
        <v>75695</v>
      </c>
      <c r="Q268">
        <v>14410</v>
      </c>
      <c r="R268">
        <v>5</v>
      </c>
    </row>
    <row r="269" spans="1:18" x14ac:dyDescent="0.25">
      <c r="A269" t="s">
        <v>37</v>
      </c>
      <c r="B269" t="s">
        <v>725</v>
      </c>
      <c r="C269" t="s">
        <v>20</v>
      </c>
      <c r="D269" t="s">
        <v>21</v>
      </c>
      <c r="E269" t="s">
        <v>22</v>
      </c>
      <c r="G269" t="s">
        <v>523</v>
      </c>
      <c r="H269" t="s">
        <v>44</v>
      </c>
      <c r="I269" t="s">
        <v>35</v>
      </c>
      <c r="J269" t="s">
        <v>53</v>
      </c>
      <c r="K269" t="s">
        <v>59</v>
      </c>
      <c r="L269">
        <v>8</v>
      </c>
      <c r="M269">
        <v>2914</v>
      </c>
      <c r="N269">
        <v>8386</v>
      </c>
      <c r="O269">
        <v>0.1</v>
      </c>
      <c r="P269">
        <v>67088</v>
      </c>
      <c r="Q269">
        <v>43776</v>
      </c>
      <c r="R269">
        <v>5</v>
      </c>
    </row>
    <row r="270" spans="1:18" x14ac:dyDescent="0.25">
      <c r="A270" t="s">
        <v>710</v>
      </c>
      <c r="B270" t="s">
        <v>726</v>
      </c>
      <c r="C270" t="s">
        <v>278</v>
      </c>
      <c r="D270" t="s">
        <v>279</v>
      </c>
      <c r="E270" t="s">
        <v>64</v>
      </c>
      <c r="F270" t="s">
        <v>42</v>
      </c>
      <c r="G270" t="s">
        <v>727</v>
      </c>
      <c r="H270" t="s">
        <v>25</v>
      </c>
      <c r="I270" t="s">
        <v>45</v>
      </c>
      <c r="J270" t="s">
        <v>53</v>
      </c>
      <c r="K270" t="s">
        <v>36</v>
      </c>
      <c r="L270">
        <v>4</v>
      </c>
      <c r="M270">
        <v>5433</v>
      </c>
      <c r="N270">
        <v>13297</v>
      </c>
      <c r="O270">
        <v>0.02</v>
      </c>
      <c r="P270">
        <v>53188</v>
      </c>
      <c r="Q270">
        <v>31456</v>
      </c>
    </row>
    <row r="271" spans="1:18" x14ac:dyDescent="0.25">
      <c r="A271" t="s">
        <v>728</v>
      </c>
      <c r="B271" t="s">
        <v>729</v>
      </c>
      <c r="C271" t="s">
        <v>141</v>
      </c>
      <c r="D271" t="s">
        <v>142</v>
      </c>
      <c r="E271" t="s">
        <v>51</v>
      </c>
      <c r="F271" t="s">
        <v>73</v>
      </c>
      <c r="G271" t="s">
        <v>730</v>
      </c>
      <c r="H271" t="s">
        <v>44</v>
      </c>
      <c r="I271" t="s">
        <v>45</v>
      </c>
      <c r="J271" t="s">
        <v>27</v>
      </c>
      <c r="K271" t="s">
        <v>59</v>
      </c>
      <c r="L271">
        <v>7</v>
      </c>
      <c r="M271">
        <v>4088</v>
      </c>
      <c r="N271">
        <v>10505</v>
      </c>
      <c r="O271">
        <v>0.05</v>
      </c>
      <c r="P271">
        <v>73535</v>
      </c>
      <c r="Q271">
        <v>44919</v>
      </c>
      <c r="R271">
        <v>1</v>
      </c>
    </row>
    <row r="272" spans="1:18" x14ac:dyDescent="0.25">
      <c r="A272" t="s">
        <v>731</v>
      </c>
      <c r="B272" t="s">
        <v>732</v>
      </c>
      <c r="C272" t="s">
        <v>87</v>
      </c>
      <c r="D272" t="s">
        <v>88</v>
      </c>
      <c r="E272" t="s">
        <v>33</v>
      </c>
      <c r="F272" t="s">
        <v>92</v>
      </c>
      <c r="G272" t="s">
        <v>733</v>
      </c>
      <c r="H272" t="s">
        <v>44</v>
      </c>
      <c r="I272" t="s">
        <v>35</v>
      </c>
      <c r="J272" t="s">
        <v>75</v>
      </c>
      <c r="K272" t="s">
        <v>54</v>
      </c>
      <c r="L272">
        <v>5</v>
      </c>
      <c r="M272">
        <v>14562</v>
      </c>
      <c r="N272">
        <v>15078</v>
      </c>
      <c r="O272">
        <v>0.1</v>
      </c>
      <c r="P272">
        <v>75390</v>
      </c>
      <c r="Q272">
        <v>2580</v>
      </c>
      <c r="R272">
        <v>3</v>
      </c>
    </row>
    <row r="273" spans="1:18" x14ac:dyDescent="0.25">
      <c r="A273" t="s">
        <v>333</v>
      </c>
      <c r="B273" t="s">
        <v>734</v>
      </c>
      <c r="C273" t="s">
        <v>278</v>
      </c>
      <c r="D273" t="s">
        <v>279</v>
      </c>
      <c r="E273" t="s">
        <v>64</v>
      </c>
      <c r="F273" t="s">
        <v>23</v>
      </c>
      <c r="G273" t="s">
        <v>735</v>
      </c>
      <c r="H273" t="s">
        <v>25</v>
      </c>
      <c r="I273" t="s">
        <v>26</v>
      </c>
      <c r="J273" t="s">
        <v>46</v>
      </c>
      <c r="K273" t="s">
        <v>59</v>
      </c>
      <c r="L273">
        <v>8</v>
      </c>
      <c r="M273">
        <v>2074</v>
      </c>
      <c r="N273">
        <v>6141</v>
      </c>
      <c r="O273">
        <v>0</v>
      </c>
      <c r="P273">
        <v>49128</v>
      </c>
      <c r="Q273">
        <v>32536</v>
      </c>
      <c r="R273">
        <v>2</v>
      </c>
    </row>
    <row r="274" spans="1:18" x14ac:dyDescent="0.25">
      <c r="A274" t="s">
        <v>534</v>
      </c>
      <c r="B274" t="s">
        <v>399</v>
      </c>
      <c r="C274" t="s">
        <v>82</v>
      </c>
      <c r="D274" t="s">
        <v>83</v>
      </c>
      <c r="E274" t="s">
        <v>51</v>
      </c>
      <c r="F274" t="s">
        <v>92</v>
      </c>
      <c r="G274" t="s">
        <v>736</v>
      </c>
      <c r="H274" t="s">
        <v>25</v>
      </c>
      <c r="I274" t="s">
        <v>45</v>
      </c>
      <c r="J274" t="s">
        <v>53</v>
      </c>
      <c r="K274" t="s">
        <v>36</v>
      </c>
      <c r="L274">
        <v>6</v>
      </c>
      <c r="M274">
        <v>10132</v>
      </c>
      <c r="N274">
        <v>12881</v>
      </c>
      <c r="O274">
        <v>0</v>
      </c>
      <c r="P274">
        <v>77286</v>
      </c>
      <c r="Q274">
        <v>16494</v>
      </c>
    </row>
    <row r="275" spans="1:18" x14ac:dyDescent="0.25">
      <c r="A275" t="s">
        <v>115</v>
      </c>
      <c r="B275" t="s">
        <v>737</v>
      </c>
      <c r="C275" t="s">
        <v>82</v>
      </c>
      <c r="D275" t="s">
        <v>83</v>
      </c>
      <c r="E275" t="s">
        <v>51</v>
      </c>
      <c r="F275" t="s">
        <v>42</v>
      </c>
      <c r="G275" t="s">
        <v>738</v>
      </c>
      <c r="H275" t="s">
        <v>25</v>
      </c>
      <c r="I275" t="s">
        <v>26</v>
      </c>
      <c r="J275" t="s">
        <v>27</v>
      </c>
      <c r="K275" t="s">
        <v>59</v>
      </c>
      <c r="L275">
        <v>1</v>
      </c>
      <c r="M275">
        <v>9760</v>
      </c>
      <c r="N275">
        <v>10297</v>
      </c>
      <c r="O275">
        <v>0</v>
      </c>
      <c r="P275">
        <v>10297</v>
      </c>
      <c r="Q275">
        <v>537</v>
      </c>
      <c r="R275">
        <v>4</v>
      </c>
    </row>
    <row r="276" spans="1:18" x14ac:dyDescent="0.25">
      <c r="A276" t="s">
        <v>253</v>
      </c>
      <c r="B276" t="s">
        <v>264</v>
      </c>
      <c r="C276" t="s">
        <v>31</v>
      </c>
      <c r="D276" t="s">
        <v>32</v>
      </c>
      <c r="E276" t="s">
        <v>33</v>
      </c>
      <c r="G276" t="s">
        <v>739</v>
      </c>
      <c r="H276" t="s">
        <v>44</v>
      </c>
      <c r="I276" t="s">
        <v>35</v>
      </c>
      <c r="J276" t="s">
        <v>58</v>
      </c>
      <c r="K276" t="s">
        <v>59</v>
      </c>
      <c r="L276">
        <v>6</v>
      </c>
      <c r="M276">
        <v>6766</v>
      </c>
      <c r="N276">
        <v>8755</v>
      </c>
      <c r="O276">
        <v>0</v>
      </c>
      <c r="P276">
        <v>52530</v>
      </c>
      <c r="Q276">
        <v>11934</v>
      </c>
      <c r="R276">
        <v>5</v>
      </c>
    </row>
    <row r="277" spans="1:18" x14ac:dyDescent="0.25">
      <c r="A277" t="s">
        <v>186</v>
      </c>
      <c r="B277" t="s">
        <v>740</v>
      </c>
      <c r="C277" t="s">
        <v>49</v>
      </c>
      <c r="D277" t="s">
        <v>50</v>
      </c>
      <c r="E277" t="s">
        <v>51</v>
      </c>
      <c r="F277" t="s">
        <v>23</v>
      </c>
      <c r="G277" t="s">
        <v>741</v>
      </c>
      <c r="H277" t="s">
        <v>44</v>
      </c>
      <c r="I277" t="s">
        <v>26</v>
      </c>
      <c r="J277" t="s">
        <v>120</v>
      </c>
      <c r="K277" t="s">
        <v>28</v>
      </c>
      <c r="L277">
        <v>2</v>
      </c>
      <c r="M277">
        <v>14963</v>
      </c>
      <c r="N277">
        <v>21305</v>
      </c>
      <c r="O277">
        <v>0.1</v>
      </c>
      <c r="P277">
        <v>42610</v>
      </c>
      <c r="Q277">
        <v>12684</v>
      </c>
      <c r="R277">
        <v>4</v>
      </c>
    </row>
    <row r="278" spans="1:18" x14ac:dyDescent="0.25">
      <c r="A278" t="s">
        <v>742</v>
      </c>
      <c r="B278" t="s">
        <v>743</v>
      </c>
      <c r="C278" t="s">
        <v>31</v>
      </c>
      <c r="D278" t="s">
        <v>32</v>
      </c>
      <c r="E278" t="s">
        <v>33</v>
      </c>
      <c r="G278" t="s">
        <v>395</v>
      </c>
      <c r="H278" t="s">
        <v>44</v>
      </c>
      <c r="I278" t="s">
        <v>26</v>
      </c>
      <c r="J278" t="s">
        <v>46</v>
      </c>
      <c r="K278" t="s">
        <v>59</v>
      </c>
      <c r="L278">
        <v>4</v>
      </c>
      <c r="M278">
        <v>1719</v>
      </c>
      <c r="N278">
        <v>3665</v>
      </c>
      <c r="O278">
        <v>0</v>
      </c>
      <c r="P278">
        <v>14660</v>
      </c>
      <c r="Q278">
        <v>7784</v>
      </c>
      <c r="R278">
        <v>4</v>
      </c>
    </row>
    <row r="279" spans="1:18" x14ac:dyDescent="0.25">
      <c r="A279" t="s">
        <v>367</v>
      </c>
      <c r="B279" t="s">
        <v>744</v>
      </c>
      <c r="C279" t="s">
        <v>31</v>
      </c>
      <c r="D279" t="s">
        <v>32</v>
      </c>
      <c r="E279" t="s">
        <v>33</v>
      </c>
      <c r="G279" t="s">
        <v>745</v>
      </c>
      <c r="H279" t="s">
        <v>44</v>
      </c>
      <c r="I279" t="s">
        <v>26</v>
      </c>
      <c r="J279" t="s">
        <v>53</v>
      </c>
      <c r="K279" t="s">
        <v>54</v>
      </c>
      <c r="L279">
        <v>4</v>
      </c>
      <c r="M279">
        <v>1117</v>
      </c>
      <c r="N279">
        <v>4655</v>
      </c>
      <c r="O279">
        <v>0.05</v>
      </c>
      <c r="P279">
        <v>18620</v>
      </c>
      <c r="Q279">
        <v>14152</v>
      </c>
    </row>
    <row r="280" spans="1:18" x14ac:dyDescent="0.25">
      <c r="A280" t="s">
        <v>170</v>
      </c>
      <c r="B280" t="s">
        <v>746</v>
      </c>
      <c r="C280" t="s">
        <v>141</v>
      </c>
      <c r="D280" t="s">
        <v>142</v>
      </c>
      <c r="E280" t="s">
        <v>51</v>
      </c>
      <c r="G280" t="s">
        <v>747</v>
      </c>
      <c r="H280" t="s">
        <v>25</v>
      </c>
      <c r="I280" t="s">
        <v>26</v>
      </c>
      <c r="J280" t="s">
        <v>58</v>
      </c>
      <c r="K280" t="s">
        <v>54</v>
      </c>
      <c r="L280">
        <v>5</v>
      </c>
      <c r="M280">
        <v>11431</v>
      </c>
      <c r="N280">
        <v>14392</v>
      </c>
      <c r="O280">
        <v>0.05</v>
      </c>
      <c r="P280">
        <v>71960</v>
      </c>
      <c r="Q280">
        <v>14805</v>
      </c>
      <c r="R280">
        <v>4</v>
      </c>
    </row>
    <row r="281" spans="1:18" x14ac:dyDescent="0.25">
      <c r="A281" t="s">
        <v>651</v>
      </c>
      <c r="B281" t="s">
        <v>204</v>
      </c>
      <c r="C281" t="s">
        <v>149</v>
      </c>
      <c r="D281" t="s">
        <v>150</v>
      </c>
      <c r="E281" t="s">
        <v>51</v>
      </c>
      <c r="F281" t="s">
        <v>73</v>
      </c>
      <c r="G281" t="s">
        <v>748</v>
      </c>
      <c r="H281" t="s">
        <v>44</v>
      </c>
      <c r="I281" t="s">
        <v>26</v>
      </c>
      <c r="J281" t="s">
        <v>75</v>
      </c>
      <c r="K281" t="s">
        <v>54</v>
      </c>
      <c r="L281">
        <v>5</v>
      </c>
      <c r="M281">
        <v>7893</v>
      </c>
      <c r="N281">
        <v>9416</v>
      </c>
      <c r="O281">
        <v>0.1</v>
      </c>
      <c r="P281">
        <v>47080</v>
      </c>
      <c r="Q281">
        <v>7615</v>
      </c>
    </row>
    <row r="282" spans="1:18" x14ac:dyDescent="0.25">
      <c r="A282" t="s">
        <v>60</v>
      </c>
      <c r="B282" t="s">
        <v>749</v>
      </c>
      <c r="C282" t="s">
        <v>62</v>
      </c>
      <c r="D282" t="s">
        <v>63</v>
      </c>
      <c r="E282" t="s">
        <v>64</v>
      </c>
      <c r="F282" t="s">
        <v>98</v>
      </c>
      <c r="G282" t="s">
        <v>750</v>
      </c>
      <c r="H282" t="s">
        <v>44</v>
      </c>
      <c r="I282" t="s">
        <v>45</v>
      </c>
      <c r="J282" t="s">
        <v>27</v>
      </c>
      <c r="K282" t="s">
        <v>54</v>
      </c>
      <c r="L282">
        <v>6</v>
      </c>
      <c r="M282">
        <v>14896</v>
      </c>
      <c r="N282">
        <v>18065</v>
      </c>
      <c r="O282">
        <v>0</v>
      </c>
      <c r="P282">
        <v>108390</v>
      </c>
      <c r="Q282">
        <v>19014</v>
      </c>
      <c r="R282">
        <v>5</v>
      </c>
    </row>
    <row r="283" spans="1:18" x14ac:dyDescent="0.25">
      <c r="A283" t="s">
        <v>293</v>
      </c>
      <c r="B283" t="s">
        <v>751</v>
      </c>
      <c r="C283" t="s">
        <v>241</v>
      </c>
      <c r="D283" t="s">
        <v>242</v>
      </c>
      <c r="E283" t="s">
        <v>22</v>
      </c>
      <c r="F283" t="s">
        <v>73</v>
      </c>
      <c r="G283" t="s">
        <v>316</v>
      </c>
      <c r="H283" t="s">
        <v>25</v>
      </c>
      <c r="I283" t="s">
        <v>45</v>
      </c>
      <c r="J283" t="s">
        <v>46</v>
      </c>
      <c r="K283" t="s">
        <v>59</v>
      </c>
      <c r="L283">
        <v>1</v>
      </c>
      <c r="M283">
        <v>10531</v>
      </c>
      <c r="N283">
        <v>18341</v>
      </c>
      <c r="O283">
        <v>0</v>
      </c>
      <c r="P283">
        <v>18341</v>
      </c>
      <c r="Q283">
        <v>7810</v>
      </c>
      <c r="R283">
        <v>4</v>
      </c>
    </row>
    <row r="284" spans="1:18" x14ac:dyDescent="0.25">
      <c r="A284" t="s">
        <v>752</v>
      </c>
      <c r="B284" t="s">
        <v>753</v>
      </c>
      <c r="C284" t="s">
        <v>39</v>
      </c>
      <c r="D284" t="s">
        <v>40</v>
      </c>
      <c r="E284" t="s">
        <v>41</v>
      </c>
      <c r="F284" t="s">
        <v>92</v>
      </c>
      <c r="G284" t="s">
        <v>380</v>
      </c>
      <c r="H284" t="s">
        <v>44</v>
      </c>
      <c r="I284" t="s">
        <v>35</v>
      </c>
      <c r="J284" t="s">
        <v>27</v>
      </c>
      <c r="K284" t="s">
        <v>54</v>
      </c>
      <c r="L284">
        <v>2</v>
      </c>
      <c r="M284">
        <v>10394</v>
      </c>
      <c r="N284">
        <v>15286</v>
      </c>
      <c r="O284">
        <v>0.05</v>
      </c>
      <c r="P284">
        <v>30572</v>
      </c>
      <c r="Q284">
        <v>9784</v>
      </c>
    </row>
    <row r="285" spans="1:18" x14ac:dyDescent="0.25">
      <c r="A285" t="s">
        <v>621</v>
      </c>
      <c r="B285" t="s">
        <v>754</v>
      </c>
      <c r="C285" t="s">
        <v>31</v>
      </c>
      <c r="D285" t="s">
        <v>32</v>
      </c>
      <c r="E285" t="s">
        <v>33</v>
      </c>
      <c r="F285" t="s">
        <v>98</v>
      </c>
      <c r="G285" t="s">
        <v>429</v>
      </c>
      <c r="H285" t="s">
        <v>44</v>
      </c>
      <c r="I285" t="s">
        <v>26</v>
      </c>
      <c r="J285" t="s">
        <v>46</v>
      </c>
      <c r="K285" t="s">
        <v>59</v>
      </c>
      <c r="L285">
        <v>2</v>
      </c>
      <c r="M285">
        <v>9631</v>
      </c>
      <c r="N285">
        <v>17433</v>
      </c>
      <c r="O285">
        <v>0.04</v>
      </c>
      <c r="P285">
        <v>34866</v>
      </c>
      <c r="Q285">
        <v>15604</v>
      </c>
      <c r="R285">
        <v>5</v>
      </c>
    </row>
    <row r="286" spans="1:18" x14ac:dyDescent="0.25">
      <c r="A286" t="s">
        <v>755</v>
      </c>
      <c r="B286" t="s">
        <v>756</v>
      </c>
      <c r="C286" t="s">
        <v>216</v>
      </c>
      <c r="D286" t="s">
        <v>217</v>
      </c>
      <c r="E286" t="s">
        <v>33</v>
      </c>
      <c r="F286" t="s">
        <v>98</v>
      </c>
      <c r="G286" t="s">
        <v>43</v>
      </c>
      <c r="H286" t="s">
        <v>44</v>
      </c>
      <c r="I286" t="s">
        <v>35</v>
      </c>
      <c r="J286" t="s">
        <v>103</v>
      </c>
      <c r="K286" t="s">
        <v>28</v>
      </c>
      <c r="L286">
        <v>1</v>
      </c>
      <c r="M286">
        <v>11453</v>
      </c>
      <c r="N286">
        <v>17862</v>
      </c>
      <c r="O286">
        <v>0</v>
      </c>
      <c r="P286">
        <v>17862</v>
      </c>
      <c r="Q286">
        <v>6409</v>
      </c>
      <c r="R286">
        <v>5</v>
      </c>
    </row>
    <row r="287" spans="1:18" x14ac:dyDescent="0.25">
      <c r="A287" t="s">
        <v>152</v>
      </c>
      <c r="B287" t="s">
        <v>757</v>
      </c>
      <c r="C287" t="s">
        <v>131</v>
      </c>
      <c r="D287" t="s">
        <v>132</v>
      </c>
      <c r="E287" t="s">
        <v>64</v>
      </c>
      <c r="F287" t="s">
        <v>42</v>
      </c>
      <c r="G287" t="s">
        <v>758</v>
      </c>
      <c r="H287" t="s">
        <v>44</v>
      </c>
      <c r="I287" t="s">
        <v>45</v>
      </c>
      <c r="J287" t="s">
        <v>120</v>
      </c>
      <c r="K287" t="s">
        <v>59</v>
      </c>
      <c r="L287">
        <v>4</v>
      </c>
      <c r="M287">
        <v>13360</v>
      </c>
      <c r="N287">
        <v>16900</v>
      </c>
      <c r="O287">
        <v>0.1</v>
      </c>
      <c r="P287">
        <v>67600</v>
      </c>
      <c r="Q287">
        <v>14160</v>
      </c>
      <c r="R287">
        <v>5</v>
      </c>
    </row>
    <row r="288" spans="1:18" x14ac:dyDescent="0.25">
      <c r="A288" t="s">
        <v>759</v>
      </c>
      <c r="B288" t="s">
        <v>156</v>
      </c>
      <c r="C288" t="s">
        <v>278</v>
      </c>
      <c r="D288" t="s">
        <v>279</v>
      </c>
      <c r="E288" t="s">
        <v>64</v>
      </c>
      <c r="F288" t="s">
        <v>98</v>
      </c>
      <c r="G288" t="s">
        <v>760</v>
      </c>
      <c r="H288" t="s">
        <v>25</v>
      </c>
      <c r="I288" t="s">
        <v>26</v>
      </c>
      <c r="J288" t="s">
        <v>53</v>
      </c>
      <c r="K288" t="s">
        <v>54</v>
      </c>
      <c r="L288">
        <v>1</v>
      </c>
      <c r="M288">
        <v>7067</v>
      </c>
      <c r="N288">
        <v>11165</v>
      </c>
      <c r="O288">
        <v>0.02</v>
      </c>
      <c r="P288">
        <v>11165</v>
      </c>
      <c r="Q288">
        <v>4098</v>
      </c>
      <c r="R288">
        <v>2</v>
      </c>
    </row>
    <row r="289" spans="1:18" x14ac:dyDescent="0.25">
      <c r="A289" t="s">
        <v>761</v>
      </c>
      <c r="B289" t="s">
        <v>619</v>
      </c>
      <c r="C289" t="s">
        <v>77</v>
      </c>
      <c r="D289" t="s">
        <v>78</v>
      </c>
      <c r="E289" t="s">
        <v>64</v>
      </c>
      <c r="F289" t="s">
        <v>73</v>
      </c>
      <c r="G289" t="s">
        <v>643</v>
      </c>
      <c r="H289" t="s">
        <v>44</v>
      </c>
      <c r="I289" t="s">
        <v>26</v>
      </c>
      <c r="J289" t="s">
        <v>75</v>
      </c>
      <c r="K289" t="s">
        <v>59</v>
      </c>
      <c r="L289">
        <v>8</v>
      </c>
      <c r="M289">
        <v>5492</v>
      </c>
      <c r="N289">
        <v>13001</v>
      </c>
      <c r="O289">
        <v>0.05</v>
      </c>
      <c r="P289">
        <v>104008</v>
      </c>
      <c r="Q289">
        <v>60072</v>
      </c>
      <c r="R289">
        <v>1</v>
      </c>
    </row>
    <row r="290" spans="1:18" x14ac:dyDescent="0.25">
      <c r="A290" t="s">
        <v>460</v>
      </c>
      <c r="B290" t="s">
        <v>762</v>
      </c>
      <c r="C290" t="s">
        <v>71</v>
      </c>
      <c r="D290" t="s">
        <v>72</v>
      </c>
      <c r="E290" t="s">
        <v>64</v>
      </c>
      <c r="F290" t="s">
        <v>92</v>
      </c>
      <c r="G290" t="s">
        <v>111</v>
      </c>
      <c r="H290" t="s">
        <v>25</v>
      </c>
      <c r="I290" t="s">
        <v>26</v>
      </c>
      <c r="J290" t="s">
        <v>27</v>
      </c>
      <c r="K290" t="s">
        <v>54</v>
      </c>
      <c r="L290">
        <v>6</v>
      </c>
      <c r="M290">
        <v>5203</v>
      </c>
      <c r="N290">
        <v>6461</v>
      </c>
      <c r="O290">
        <v>0.05</v>
      </c>
      <c r="P290">
        <v>38766</v>
      </c>
      <c r="Q290">
        <v>7548</v>
      </c>
      <c r="R290">
        <v>3</v>
      </c>
    </row>
    <row r="291" spans="1:18" x14ac:dyDescent="0.25">
      <c r="A291" t="s">
        <v>763</v>
      </c>
      <c r="B291" t="s">
        <v>764</v>
      </c>
      <c r="C291" t="s">
        <v>49</v>
      </c>
      <c r="D291" t="s">
        <v>50</v>
      </c>
      <c r="E291" t="s">
        <v>51</v>
      </c>
      <c r="F291" t="s">
        <v>98</v>
      </c>
      <c r="G291" t="s">
        <v>34</v>
      </c>
      <c r="H291" t="s">
        <v>25</v>
      </c>
      <c r="I291" t="s">
        <v>45</v>
      </c>
      <c r="J291" t="s">
        <v>27</v>
      </c>
      <c r="K291" t="s">
        <v>36</v>
      </c>
      <c r="L291">
        <v>5</v>
      </c>
      <c r="M291">
        <v>4314</v>
      </c>
      <c r="N291">
        <v>7125</v>
      </c>
      <c r="O291">
        <v>0</v>
      </c>
      <c r="P291">
        <v>35625</v>
      </c>
      <c r="Q291">
        <v>14055</v>
      </c>
      <c r="R291">
        <v>2</v>
      </c>
    </row>
    <row r="292" spans="1:18" x14ac:dyDescent="0.25">
      <c r="A292" t="s">
        <v>765</v>
      </c>
      <c r="B292" t="s">
        <v>766</v>
      </c>
      <c r="C292" t="s">
        <v>278</v>
      </c>
      <c r="D292" t="s">
        <v>279</v>
      </c>
      <c r="E292" t="s">
        <v>64</v>
      </c>
      <c r="F292" t="s">
        <v>23</v>
      </c>
      <c r="G292" t="s">
        <v>767</v>
      </c>
      <c r="H292" t="s">
        <v>25</v>
      </c>
      <c r="I292" t="s">
        <v>35</v>
      </c>
      <c r="J292" t="s">
        <v>120</v>
      </c>
      <c r="K292" t="s">
        <v>59</v>
      </c>
      <c r="L292">
        <v>2</v>
      </c>
      <c r="M292">
        <v>8130</v>
      </c>
      <c r="N292">
        <v>10082</v>
      </c>
      <c r="O292">
        <v>0.04</v>
      </c>
      <c r="P292">
        <v>20164</v>
      </c>
      <c r="Q292">
        <v>3904</v>
      </c>
      <c r="R292">
        <v>4</v>
      </c>
    </row>
    <row r="293" spans="1:18" x14ac:dyDescent="0.25">
      <c r="A293" t="s">
        <v>768</v>
      </c>
      <c r="B293" t="s">
        <v>769</v>
      </c>
      <c r="C293" t="s">
        <v>149</v>
      </c>
      <c r="D293" t="s">
        <v>150</v>
      </c>
      <c r="E293" t="s">
        <v>51</v>
      </c>
      <c r="F293" t="s">
        <v>73</v>
      </c>
      <c r="G293" t="s">
        <v>770</v>
      </c>
      <c r="H293" t="s">
        <v>44</v>
      </c>
      <c r="I293" t="s">
        <v>45</v>
      </c>
      <c r="J293" t="s">
        <v>27</v>
      </c>
      <c r="K293" t="s">
        <v>28</v>
      </c>
      <c r="L293">
        <v>4</v>
      </c>
      <c r="M293">
        <v>6380</v>
      </c>
      <c r="N293">
        <v>8832</v>
      </c>
      <c r="O293">
        <v>0.1</v>
      </c>
      <c r="P293">
        <v>35328</v>
      </c>
      <c r="Q293">
        <v>9808</v>
      </c>
      <c r="R293">
        <v>5</v>
      </c>
    </row>
    <row r="294" spans="1:18" x14ac:dyDescent="0.25">
      <c r="A294" t="s">
        <v>539</v>
      </c>
      <c r="B294" t="s">
        <v>771</v>
      </c>
      <c r="C294" t="s">
        <v>131</v>
      </c>
      <c r="D294" t="s">
        <v>132</v>
      </c>
      <c r="E294" t="s">
        <v>64</v>
      </c>
      <c r="F294" t="s">
        <v>23</v>
      </c>
      <c r="G294" t="s">
        <v>772</v>
      </c>
      <c r="H294" t="s">
        <v>44</v>
      </c>
      <c r="I294" t="s">
        <v>45</v>
      </c>
      <c r="J294" t="s">
        <v>27</v>
      </c>
      <c r="K294" t="s">
        <v>59</v>
      </c>
      <c r="L294">
        <v>4</v>
      </c>
      <c r="M294">
        <v>4075</v>
      </c>
      <c r="N294">
        <v>9092</v>
      </c>
      <c r="O294">
        <v>0.04</v>
      </c>
      <c r="P294">
        <v>36368</v>
      </c>
      <c r="Q294">
        <v>20068</v>
      </c>
      <c r="R294">
        <v>5</v>
      </c>
    </row>
    <row r="295" spans="1:18" x14ac:dyDescent="0.25">
      <c r="A295" t="s">
        <v>341</v>
      </c>
      <c r="B295" t="s">
        <v>773</v>
      </c>
      <c r="C295" t="s">
        <v>141</v>
      </c>
      <c r="D295" t="s">
        <v>142</v>
      </c>
      <c r="E295" t="s">
        <v>51</v>
      </c>
      <c r="F295" t="s">
        <v>92</v>
      </c>
      <c r="G295" t="s">
        <v>774</v>
      </c>
      <c r="H295" t="s">
        <v>44</v>
      </c>
      <c r="I295" t="s">
        <v>35</v>
      </c>
      <c r="J295" t="s">
        <v>53</v>
      </c>
      <c r="K295" t="s">
        <v>28</v>
      </c>
      <c r="L295">
        <v>3</v>
      </c>
      <c r="M295">
        <v>14563</v>
      </c>
      <c r="N295">
        <v>16807</v>
      </c>
      <c r="O295">
        <v>0.02</v>
      </c>
      <c r="P295">
        <v>50421</v>
      </c>
      <c r="Q295">
        <v>6732</v>
      </c>
      <c r="R295">
        <v>5</v>
      </c>
    </row>
    <row r="296" spans="1:18" x14ac:dyDescent="0.25">
      <c r="A296" t="s">
        <v>198</v>
      </c>
      <c r="B296" t="s">
        <v>435</v>
      </c>
      <c r="C296" t="s">
        <v>20</v>
      </c>
      <c r="D296" t="s">
        <v>21</v>
      </c>
      <c r="E296" t="s">
        <v>22</v>
      </c>
      <c r="F296" t="s">
        <v>92</v>
      </c>
      <c r="G296" t="s">
        <v>775</v>
      </c>
      <c r="H296" t="s">
        <v>44</v>
      </c>
      <c r="I296" t="s">
        <v>45</v>
      </c>
      <c r="J296" t="s">
        <v>58</v>
      </c>
      <c r="K296" t="s">
        <v>59</v>
      </c>
      <c r="L296">
        <v>2</v>
      </c>
      <c r="M296">
        <v>9833</v>
      </c>
      <c r="N296">
        <v>14606</v>
      </c>
      <c r="O296">
        <v>0.1</v>
      </c>
      <c r="P296">
        <v>29212</v>
      </c>
      <c r="Q296">
        <v>9546</v>
      </c>
    </row>
    <row r="297" spans="1:18" x14ac:dyDescent="0.25">
      <c r="A297" t="s">
        <v>776</v>
      </c>
      <c r="B297" t="s">
        <v>777</v>
      </c>
      <c r="C297" t="s">
        <v>87</v>
      </c>
      <c r="D297" t="s">
        <v>88</v>
      </c>
      <c r="E297" t="s">
        <v>33</v>
      </c>
      <c r="F297" t="s">
        <v>23</v>
      </c>
      <c r="G297" t="s">
        <v>778</v>
      </c>
      <c r="H297" t="s">
        <v>44</v>
      </c>
      <c r="I297" t="s">
        <v>35</v>
      </c>
      <c r="J297" t="s">
        <v>58</v>
      </c>
      <c r="K297" t="s">
        <v>59</v>
      </c>
      <c r="L297">
        <v>1</v>
      </c>
      <c r="M297">
        <v>3221</v>
      </c>
      <c r="N297">
        <v>6619</v>
      </c>
      <c r="O297">
        <v>0.02</v>
      </c>
      <c r="P297">
        <v>6619</v>
      </c>
      <c r="Q297">
        <v>3398</v>
      </c>
      <c r="R297">
        <v>2</v>
      </c>
    </row>
    <row r="298" spans="1:18" x14ac:dyDescent="0.25">
      <c r="A298" t="s">
        <v>444</v>
      </c>
      <c r="B298" t="s">
        <v>779</v>
      </c>
      <c r="C298" t="s">
        <v>82</v>
      </c>
      <c r="D298" t="s">
        <v>83</v>
      </c>
      <c r="E298" t="s">
        <v>51</v>
      </c>
      <c r="F298" t="s">
        <v>42</v>
      </c>
      <c r="G298" t="s">
        <v>780</v>
      </c>
      <c r="H298" t="s">
        <v>25</v>
      </c>
      <c r="I298" t="s">
        <v>35</v>
      </c>
      <c r="J298" t="s">
        <v>46</v>
      </c>
      <c r="K298" t="s">
        <v>36</v>
      </c>
      <c r="L298">
        <v>2</v>
      </c>
      <c r="M298">
        <v>7765</v>
      </c>
      <c r="N298">
        <v>8311</v>
      </c>
      <c r="O298">
        <v>0.04</v>
      </c>
      <c r="P298">
        <v>16622</v>
      </c>
      <c r="Q298">
        <v>1092</v>
      </c>
      <c r="R298">
        <v>3</v>
      </c>
    </row>
    <row r="299" spans="1:18" x14ac:dyDescent="0.25">
      <c r="A299" t="s">
        <v>327</v>
      </c>
      <c r="B299" t="s">
        <v>781</v>
      </c>
      <c r="C299" t="s">
        <v>278</v>
      </c>
      <c r="D299" t="s">
        <v>279</v>
      </c>
      <c r="E299" t="s">
        <v>64</v>
      </c>
      <c r="F299" t="s">
        <v>23</v>
      </c>
      <c r="G299" t="s">
        <v>782</v>
      </c>
      <c r="H299" t="s">
        <v>44</v>
      </c>
      <c r="I299" t="s">
        <v>26</v>
      </c>
      <c r="J299" t="s">
        <v>58</v>
      </c>
      <c r="K299" t="s">
        <v>59</v>
      </c>
      <c r="L299">
        <v>8</v>
      </c>
      <c r="M299">
        <v>8423</v>
      </c>
      <c r="N299">
        <v>14997</v>
      </c>
      <c r="O299">
        <v>0.02</v>
      </c>
      <c r="P299">
        <v>119976</v>
      </c>
      <c r="Q299">
        <v>52592</v>
      </c>
    </row>
    <row r="300" spans="1:18" x14ac:dyDescent="0.25">
      <c r="A300" t="s">
        <v>439</v>
      </c>
      <c r="B300" t="s">
        <v>783</v>
      </c>
      <c r="C300" t="s">
        <v>241</v>
      </c>
      <c r="D300" t="s">
        <v>242</v>
      </c>
      <c r="E300" t="s">
        <v>22</v>
      </c>
      <c r="F300" t="s">
        <v>23</v>
      </c>
      <c r="G300" t="s">
        <v>784</v>
      </c>
      <c r="H300" t="s">
        <v>25</v>
      </c>
      <c r="I300" t="s">
        <v>45</v>
      </c>
      <c r="J300" t="s">
        <v>75</v>
      </c>
      <c r="K300" t="s">
        <v>54</v>
      </c>
      <c r="L300">
        <v>7</v>
      </c>
      <c r="M300">
        <v>1958</v>
      </c>
      <c r="N300">
        <v>7779</v>
      </c>
      <c r="O300">
        <v>0</v>
      </c>
      <c r="P300">
        <v>54453</v>
      </c>
      <c r="Q300">
        <v>40747</v>
      </c>
      <c r="R300">
        <v>3</v>
      </c>
    </row>
    <row r="301" spans="1:18" x14ac:dyDescent="0.25">
      <c r="A301" t="s">
        <v>785</v>
      </c>
      <c r="B301" t="s">
        <v>786</v>
      </c>
      <c r="C301" t="s">
        <v>131</v>
      </c>
      <c r="D301" t="s">
        <v>132</v>
      </c>
      <c r="E301" t="s">
        <v>64</v>
      </c>
      <c r="G301" t="s">
        <v>512</v>
      </c>
      <c r="H301" t="s">
        <v>44</v>
      </c>
      <c r="I301" t="s">
        <v>45</v>
      </c>
      <c r="J301" t="s">
        <v>27</v>
      </c>
      <c r="K301" t="s">
        <v>36</v>
      </c>
      <c r="L301">
        <v>4</v>
      </c>
      <c r="M301">
        <v>6979</v>
      </c>
      <c r="N301">
        <v>9656</v>
      </c>
      <c r="O301">
        <v>0.02</v>
      </c>
      <c r="P301">
        <v>38624</v>
      </c>
      <c r="Q301">
        <v>10708</v>
      </c>
      <c r="R301">
        <v>4</v>
      </c>
    </row>
    <row r="302" spans="1:18" x14ac:dyDescent="0.25">
      <c r="A302" t="s">
        <v>296</v>
      </c>
      <c r="B302" t="s">
        <v>787</v>
      </c>
      <c r="C302" t="s">
        <v>82</v>
      </c>
      <c r="D302" t="s">
        <v>83</v>
      </c>
      <c r="E302" t="s">
        <v>51</v>
      </c>
      <c r="G302" t="s">
        <v>788</v>
      </c>
      <c r="H302" t="s">
        <v>25</v>
      </c>
      <c r="I302" t="s">
        <v>35</v>
      </c>
      <c r="J302" t="s">
        <v>27</v>
      </c>
      <c r="K302" t="s">
        <v>59</v>
      </c>
      <c r="L302">
        <v>3</v>
      </c>
      <c r="M302">
        <v>5579</v>
      </c>
      <c r="N302">
        <v>11009</v>
      </c>
      <c r="O302">
        <v>0.05</v>
      </c>
      <c r="P302">
        <v>33027</v>
      </c>
      <c r="Q302">
        <v>16290</v>
      </c>
      <c r="R302">
        <v>2</v>
      </c>
    </row>
    <row r="303" spans="1:18" x14ac:dyDescent="0.25">
      <c r="A303" t="s">
        <v>675</v>
      </c>
      <c r="B303" t="s">
        <v>789</v>
      </c>
      <c r="C303" t="s">
        <v>141</v>
      </c>
      <c r="D303" t="s">
        <v>142</v>
      </c>
      <c r="E303" t="s">
        <v>51</v>
      </c>
      <c r="F303" t="s">
        <v>73</v>
      </c>
      <c r="G303" t="s">
        <v>790</v>
      </c>
      <c r="H303" t="s">
        <v>44</v>
      </c>
      <c r="I303" t="s">
        <v>26</v>
      </c>
      <c r="J303" t="s">
        <v>75</v>
      </c>
      <c r="K303" t="s">
        <v>59</v>
      </c>
      <c r="L303">
        <v>2</v>
      </c>
      <c r="M303">
        <v>13874</v>
      </c>
      <c r="N303">
        <v>16412</v>
      </c>
      <c r="O303">
        <v>0.02</v>
      </c>
      <c r="P303">
        <v>32824</v>
      </c>
      <c r="Q303">
        <v>5076</v>
      </c>
      <c r="R303">
        <v>1</v>
      </c>
    </row>
    <row r="304" spans="1:18" x14ac:dyDescent="0.25">
      <c r="A304" t="s">
        <v>341</v>
      </c>
      <c r="B304" t="s">
        <v>791</v>
      </c>
      <c r="C304" t="s">
        <v>62</v>
      </c>
      <c r="D304" t="s">
        <v>63</v>
      </c>
      <c r="E304" t="s">
        <v>64</v>
      </c>
      <c r="F304" t="s">
        <v>23</v>
      </c>
      <c r="G304" t="s">
        <v>792</v>
      </c>
      <c r="H304" t="s">
        <v>44</v>
      </c>
      <c r="I304" t="s">
        <v>35</v>
      </c>
      <c r="J304" t="s">
        <v>58</v>
      </c>
      <c r="K304" t="s">
        <v>59</v>
      </c>
      <c r="L304">
        <v>2</v>
      </c>
      <c r="M304">
        <v>7421</v>
      </c>
      <c r="N304">
        <v>9789</v>
      </c>
      <c r="O304">
        <v>0</v>
      </c>
      <c r="P304">
        <v>19578</v>
      </c>
      <c r="Q304">
        <v>4736</v>
      </c>
      <c r="R304">
        <v>4</v>
      </c>
    </row>
    <row r="305" spans="1:18" x14ac:dyDescent="0.25">
      <c r="A305" t="s">
        <v>195</v>
      </c>
      <c r="B305" t="s">
        <v>793</v>
      </c>
      <c r="C305" t="s">
        <v>62</v>
      </c>
      <c r="D305" t="s">
        <v>63</v>
      </c>
      <c r="E305" t="s">
        <v>64</v>
      </c>
      <c r="F305" t="s">
        <v>92</v>
      </c>
      <c r="G305" t="s">
        <v>794</v>
      </c>
      <c r="H305" t="s">
        <v>44</v>
      </c>
      <c r="I305" t="s">
        <v>26</v>
      </c>
      <c r="J305" t="s">
        <v>27</v>
      </c>
      <c r="K305" t="s">
        <v>59</v>
      </c>
      <c r="L305">
        <v>4</v>
      </c>
      <c r="M305">
        <v>4639</v>
      </c>
      <c r="N305">
        <v>6814</v>
      </c>
      <c r="O305">
        <v>0.1</v>
      </c>
      <c r="P305">
        <v>27256</v>
      </c>
      <c r="Q305">
        <v>8700</v>
      </c>
      <c r="R305">
        <v>4</v>
      </c>
    </row>
    <row r="306" spans="1:18" x14ac:dyDescent="0.25">
      <c r="A306" t="s">
        <v>795</v>
      </c>
      <c r="B306" t="s">
        <v>796</v>
      </c>
      <c r="C306" t="s">
        <v>106</v>
      </c>
      <c r="D306" t="s">
        <v>107</v>
      </c>
      <c r="E306" t="s">
        <v>41</v>
      </c>
      <c r="F306" t="s">
        <v>92</v>
      </c>
      <c r="G306" t="s">
        <v>797</v>
      </c>
      <c r="H306" t="s">
        <v>25</v>
      </c>
      <c r="I306" t="s">
        <v>45</v>
      </c>
      <c r="J306" t="s">
        <v>103</v>
      </c>
      <c r="K306" t="s">
        <v>36</v>
      </c>
      <c r="L306">
        <v>3</v>
      </c>
      <c r="M306">
        <v>2444</v>
      </c>
      <c r="N306">
        <v>10083</v>
      </c>
      <c r="O306">
        <v>0.05</v>
      </c>
      <c r="P306">
        <v>30249</v>
      </c>
      <c r="Q306">
        <v>22917</v>
      </c>
      <c r="R306">
        <v>3</v>
      </c>
    </row>
    <row r="307" spans="1:18" x14ac:dyDescent="0.25">
      <c r="A307" t="s">
        <v>259</v>
      </c>
      <c r="B307" t="s">
        <v>798</v>
      </c>
      <c r="C307" t="s">
        <v>31</v>
      </c>
      <c r="D307" t="s">
        <v>32</v>
      </c>
      <c r="E307" t="s">
        <v>33</v>
      </c>
      <c r="F307" t="s">
        <v>23</v>
      </c>
      <c r="G307" t="s">
        <v>799</v>
      </c>
      <c r="H307" t="s">
        <v>25</v>
      </c>
      <c r="I307" t="s">
        <v>35</v>
      </c>
      <c r="J307" t="s">
        <v>120</v>
      </c>
      <c r="K307" t="s">
        <v>36</v>
      </c>
      <c r="L307">
        <v>5</v>
      </c>
      <c r="M307">
        <v>7372</v>
      </c>
      <c r="N307">
        <v>14992</v>
      </c>
      <c r="O307">
        <v>0</v>
      </c>
      <c r="P307">
        <v>74960</v>
      </c>
      <c r="Q307">
        <v>38100</v>
      </c>
    </row>
    <row r="308" spans="1:18" x14ac:dyDescent="0.25">
      <c r="A308" t="s">
        <v>800</v>
      </c>
      <c r="B308" t="s">
        <v>801</v>
      </c>
      <c r="C308" t="s">
        <v>49</v>
      </c>
      <c r="D308" t="s">
        <v>50</v>
      </c>
      <c r="E308" t="s">
        <v>51</v>
      </c>
      <c r="F308" t="s">
        <v>92</v>
      </c>
      <c r="G308" t="s">
        <v>802</v>
      </c>
      <c r="H308" t="s">
        <v>25</v>
      </c>
      <c r="I308" t="s">
        <v>35</v>
      </c>
      <c r="J308" t="s">
        <v>58</v>
      </c>
      <c r="K308" t="s">
        <v>28</v>
      </c>
      <c r="L308">
        <v>1</v>
      </c>
      <c r="M308">
        <v>10880</v>
      </c>
      <c r="N308">
        <v>12311</v>
      </c>
      <c r="O308">
        <v>0.05</v>
      </c>
      <c r="P308">
        <v>12311</v>
      </c>
      <c r="Q308">
        <v>1431</v>
      </c>
      <c r="R308">
        <v>5</v>
      </c>
    </row>
    <row r="309" spans="1:18" x14ac:dyDescent="0.25">
      <c r="A309" t="s">
        <v>803</v>
      </c>
      <c r="B309" t="s">
        <v>522</v>
      </c>
      <c r="C309" t="s">
        <v>117</v>
      </c>
      <c r="D309" t="s">
        <v>118</v>
      </c>
      <c r="E309" t="s">
        <v>41</v>
      </c>
      <c r="F309" t="s">
        <v>73</v>
      </c>
      <c r="G309" t="s">
        <v>687</v>
      </c>
      <c r="H309" t="s">
        <v>44</v>
      </c>
      <c r="I309" t="s">
        <v>35</v>
      </c>
      <c r="J309" t="s">
        <v>46</v>
      </c>
      <c r="K309" t="s">
        <v>54</v>
      </c>
      <c r="L309">
        <v>6</v>
      </c>
      <c r="M309">
        <v>3791</v>
      </c>
      <c r="N309">
        <v>6384</v>
      </c>
      <c r="O309">
        <v>0.05</v>
      </c>
      <c r="P309">
        <v>38304</v>
      </c>
      <c r="Q309">
        <v>15558</v>
      </c>
    </row>
    <row r="310" spans="1:18" x14ac:dyDescent="0.25">
      <c r="A310" t="s">
        <v>804</v>
      </c>
      <c r="B310" t="s">
        <v>805</v>
      </c>
      <c r="C310" t="s">
        <v>149</v>
      </c>
      <c r="D310" t="s">
        <v>150</v>
      </c>
      <c r="E310" t="s">
        <v>51</v>
      </c>
      <c r="F310" t="s">
        <v>98</v>
      </c>
      <c r="G310" t="s">
        <v>806</v>
      </c>
      <c r="H310" t="s">
        <v>44</v>
      </c>
      <c r="I310" t="s">
        <v>26</v>
      </c>
      <c r="J310" t="s">
        <v>27</v>
      </c>
      <c r="K310" t="s">
        <v>54</v>
      </c>
      <c r="L310">
        <v>3</v>
      </c>
      <c r="M310">
        <v>6959</v>
      </c>
      <c r="N310">
        <v>14433</v>
      </c>
      <c r="O310">
        <v>0.1</v>
      </c>
      <c r="P310">
        <v>43299</v>
      </c>
      <c r="Q310">
        <v>22422</v>
      </c>
      <c r="R310">
        <v>1</v>
      </c>
    </row>
    <row r="311" spans="1:18" x14ac:dyDescent="0.25">
      <c r="A311" t="s">
        <v>671</v>
      </c>
      <c r="B311" t="s">
        <v>807</v>
      </c>
      <c r="C311" t="s">
        <v>62</v>
      </c>
      <c r="D311" t="s">
        <v>63</v>
      </c>
      <c r="E311" t="s">
        <v>64</v>
      </c>
      <c r="F311" t="s">
        <v>92</v>
      </c>
      <c r="G311" t="s">
        <v>808</v>
      </c>
      <c r="H311" t="s">
        <v>44</v>
      </c>
      <c r="I311" t="s">
        <v>45</v>
      </c>
      <c r="J311" t="s">
        <v>58</v>
      </c>
      <c r="K311" t="s">
        <v>54</v>
      </c>
      <c r="L311">
        <v>5</v>
      </c>
      <c r="M311">
        <v>7823</v>
      </c>
      <c r="N311">
        <v>12470</v>
      </c>
      <c r="O311">
        <v>0.1</v>
      </c>
      <c r="P311">
        <v>62350</v>
      </c>
      <c r="Q311">
        <v>23235</v>
      </c>
      <c r="R311">
        <v>1</v>
      </c>
    </row>
    <row r="312" spans="1:18" x14ac:dyDescent="0.25">
      <c r="A312" t="s">
        <v>431</v>
      </c>
      <c r="B312" t="s">
        <v>809</v>
      </c>
      <c r="C312" t="s">
        <v>131</v>
      </c>
      <c r="D312" t="s">
        <v>132</v>
      </c>
      <c r="E312" t="s">
        <v>64</v>
      </c>
      <c r="F312" t="s">
        <v>92</v>
      </c>
      <c r="G312" t="s">
        <v>810</v>
      </c>
      <c r="H312" t="s">
        <v>44</v>
      </c>
      <c r="I312" t="s">
        <v>35</v>
      </c>
      <c r="J312" t="s">
        <v>103</v>
      </c>
      <c r="K312" t="s">
        <v>54</v>
      </c>
      <c r="L312">
        <v>3</v>
      </c>
      <c r="M312">
        <v>8551</v>
      </c>
      <c r="N312">
        <v>14683</v>
      </c>
      <c r="O312">
        <v>0.1</v>
      </c>
      <c r="P312">
        <v>44049</v>
      </c>
      <c r="Q312">
        <v>18396</v>
      </c>
      <c r="R312">
        <v>2</v>
      </c>
    </row>
    <row r="313" spans="1:18" x14ac:dyDescent="0.25">
      <c r="A313" t="s">
        <v>811</v>
      </c>
      <c r="B313" t="s">
        <v>812</v>
      </c>
      <c r="C313" t="s">
        <v>241</v>
      </c>
      <c r="D313" t="s">
        <v>242</v>
      </c>
      <c r="E313" t="s">
        <v>22</v>
      </c>
      <c r="F313" t="s">
        <v>42</v>
      </c>
      <c r="G313" t="s">
        <v>813</v>
      </c>
      <c r="H313" t="s">
        <v>25</v>
      </c>
      <c r="I313" t="s">
        <v>26</v>
      </c>
      <c r="J313" t="s">
        <v>53</v>
      </c>
      <c r="K313" t="s">
        <v>54</v>
      </c>
      <c r="L313">
        <v>3</v>
      </c>
      <c r="M313">
        <v>2645</v>
      </c>
      <c r="N313">
        <v>3474</v>
      </c>
      <c r="O313">
        <v>0.1</v>
      </c>
      <c r="P313">
        <v>10422</v>
      </c>
      <c r="Q313">
        <v>2487</v>
      </c>
      <c r="R313">
        <v>3</v>
      </c>
    </row>
    <row r="314" spans="1:18" x14ac:dyDescent="0.25">
      <c r="A314" t="s">
        <v>508</v>
      </c>
      <c r="B314" t="s">
        <v>814</v>
      </c>
      <c r="C314" t="s">
        <v>20</v>
      </c>
      <c r="D314" t="s">
        <v>21</v>
      </c>
      <c r="E314" t="s">
        <v>22</v>
      </c>
      <c r="F314" t="s">
        <v>73</v>
      </c>
      <c r="G314" t="s">
        <v>374</v>
      </c>
      <c r="H314" t="s">
        <v>44</v>
      </c>
      <c r="I314" t="s">
        <v>45</v>
      </c>
      <c r="J314" t="s">
        <v>53</v>
      </c>
      <c r="K314" t="s">
        <v>54</v>
      </c>
      <c r="L314">
        <v>8</v>
      </c>
      <c r="M314">
        <v>1598</v>
      </c>
      <c r="N314">
        <v>3746</v>
      </c>
      <c r="O314">
        <v>0.1</v>
      </c>
      <c r="P314">
        <v>29968</v>
      </c>
      <c r="Q314">
        <v>17184</v>
      </c>
      <c r="R314">
        <v>4</v>
      </c>
    </row>
    <row r="315" spans="1:18" x14ac:dyDescent="0.25">
      <c r="A315" t="s">
        <v>281</v>
      </c>
      <c r="B315" t="s">
        <v>815</v>
      </c>
      <c r="C315" t="s">
        <v>131</v>
      </c>
      <c r="D315" t="s">
        <v>132</v>
      </c>
      <c r="E315" t="s">
        <v>64</v>
      </c>
      <c r="F315" t="s">
        <v>98</v>
      </c>
      <c r="G315" t="s">
        <v>816</v>
      </c>
      <c r="H315" t="s">
        <v>25</v>
      </c>
      <c r="I315" t="s">
        <v>45</v>
      </c>
      <c r="J315" t="s">
        <v>46</v>
      </c>
      <c r="K315" t="s">
        <v>28</v>
      </c>
      <c r="L315">
        <v>8</v>
      </c>
      <c r="M315">
        <v>10302</v>
      </c>
      <c r="N315">
        <v>13674</v>
      </c>
      <c r="O315">
        <v>0</v>
      </c>
      <c r="P315">
        <v>109392</v>
      </c>
      <c r="Q315">
        <v>26976</v>
      </c>
      <c r="R315">
        <v>2</v>
      </c>
    </row>
    <row r="316" spans="1:18" x14ac:dyDescent="0.25">
      <c r="A316" t="s">
        <v>715</v>
      </c>
      <c r="B316" t="s">
        <v>407</v>
      </c>
      <c r="C316" t="s">
        <v>62</v>
      </c>
      <c r="D316" t="s">
        <v>63</v>
      </c>
      <c r="E316" t="s">
        <v>64</v>
      </c>
      <c r="F316" t="s">
        <v>73</v>
      </c>
      <c r="G316" t="s">
        <v>817</v>
      </c>
      <c r="H316" t="s">
        <v>44</v>
      </c>
      <c r="I316" t="s">
        <v>26</v>
      </c>
      <c r="J316" t="s">
        <v>46</v>
      </c>
      <c r="K316" t="s">
        <v>59</v>
      </c>
      <c r="L316">
        <v>2</v>
      </c>
      <c r="M316">
        <v>3754</v>
      </c>
      <c r="N316">
        <v>8542</v>
      </c>
      <c r="O316">
        <v>0.02</v>
      </c>
      <c r="P316">
        <v>17084</v>
      </c>
      <c r="Q316">
        <v>9576</v>
      </c>
      <c r="R316">
        <v>5</v>
      </c>
    </row>
    <row r="317" spans="1:18" x14ac:dyDescent="0.25">
      <c r="A317" t="s">
        <v>256</v>
      </c>
      <c r="B317" t="s">
        <v>818</v>
      </c>
      <c r="C317" t="s">
        <v>31</v>
      </c>
      <c r="D317" t="s">
        <v>32</v>
      </c>
      <c r="E317" t="s">
        <v>33</v>
      </c>
      <c r="F317" t="s">
        <v>73</v>
      </c>
      <c r="G317" t="s">
        <v>819</v>
      </c>
      <c r="H317" t="s">
        <v>25</v>
      </c>
      <c r="I317" t="s">
        <v>26</v>
      </c>
      <c r="J317" t="s">
        <v>75</v>
      </c>
      <c r="K317" t="s">
        <v>59</v>
      </c>
      <c r="L317">
        <v>7</v>
      </c>
      <c r="M317">
        <v>6557</v>
      </c>
      <c r="N317">
        <v>9616</v>
      </c>
      <c r="O317">
        <v>0.04</v>
      </c>
      <c r="P317">
        <v>67312</v>
      </c>
      <c r="Q317">
        <v>21413</v>
      </c>
      <c r="R317">
        <v>3</v>
      </c>
    </row>
    <row r="318" spans="1:18" x14ac:dyDescent="0.25">
      <c r="A318" t="s">
        <v>233</v>
      </c>
      <c r="B318" t="s">
        <v>545</v>
      </c>
      <c r="C318" t="s">
        <v>131</v>
      </c>
      <c r="D318" t="s">
        <v>132</v>
      </c>
      <c r="E318" t="s">
        <v>64</v>
      </c>
      <c r="F318" t="s">
        <v>73</v>
      </c>
      <c r="G318" t="s">
        <v>820</v>
      </c>
      <c r="H318" t="s">
        <v>25</v>
      </c>
      <c r="I318" t="s">
        <v>35</v>
      </c>
      <c r="J318" t="s">
        <v>120</v>
      </c>
      <c r="K318" t="s">
        <v>54</v>
      </c>
      <c r="L318">
        <v>3</v>
      </c>
      <c r="M318">
        <v>5186</v>
      </c>
      <c r="N318">
        <v>7137</v>
      </c>
      <c r="O318">
        <v>0.1</v>
      </c>
      <c r="P318">
        <v>21411</v>
      </c>
      <c r="Q318">
        <v>5853</v>
      </c>
    </row>
    <row r="319" spans="1:18" x14ac:dyDescent="0.25">
      <c r="A319" t="s">
        <v>821</v>
      </c>
      <c r="B319" t="s">
        <v>822</v>
      </c>
      <c r="C319" t="s">
        <v>131</v>
      </c>
      <c r="D319" t="s">
        <v>132</v>
      </c>
      <c r="E319" t="s">
        <v>64</v>
      </c>
      <c r="G319" t="s">
        <v>356</v>
      </c>
      <c r="H319" t="s">
        <v>44</v>
      </c>
      <c r="I319" t="s">
        <v>26</v>
      </c>
      <c r="J319" t="s">
        <v>46</v>
      </c>
      <c r="K319" t="s">
        <v>54</v>
      </c>
      <c r="L319">
        <v>2</v>
      </c>
      <c r="M319">
        <v>5402</v>
      </c>
      <c r="N319">
        <v>8881</v>
      </c>
      <c r="O319">
        <v>0.02</v>
      </c>
      <c r="P319">
        <v>17762</v>
      </c>
      <c r="Q319">
        <v>6958</v>
      </c>
    </row>
    <row r="320" spans="1:18" x14ac:dyDescent="0.25">
      <c r="A320" t="s">
        <v>823</v>
      </c>
      <c r="B320" t="s">
        <v>70</v>
      </c>
      <c r="C320" t="s">
        <v>62</v>
      </c>
      <c r="D320" t="s">
        <v>63</v>
      </c>
      <c r="E320" t="s">
        <v>64</v>
      </c>
      <c r="F320" t="s">
        <v>23</v>
      </c>
      <c r="G320" t="s">
        <v>433</v>
      </c>
      <c r="H320" t="s">
        <v>44</v>
      </c>
      <c r="I320" t="s">
        <v>26</v>
      </c>
      <c r="J320" t="s">
        <v>58</v>
      </c>
      <c r="K320" t="s">
        <v>59</v>
      </c>
      <c r="L320">
        <v>4</v>
      </c>
      <c r="M320">
        <v>12304</v>
      </c>
      <c r="N320">
        <v>12864</v>
      </c>
      <c r="O320">
        <v>0.1</v>
      </c>
      <c r="P320">
        <v>51456</v>
      </c>
      <c r="Q320">
        <v>2240</v>
      </c>
      <c r="R320">
        <v>4</v>
      </c>
    </row>
    <row r="321" spans="1:18" x14ac:dyDescent="0.25">
      <c r="A321" t="s">
        <v>115</v>
      </c>
      <c r="B321" t="s">
        <v>824</v>
      </c>
      <c r="C321" t="s">
        <v>77</v>
      </c>
      <c r="D321" t="s">
        <v>78</v>
      </c>
      <c r="E321" t="s">
        <v>64</v>
      </c>
      <c r="F321" t="s">
        <v>23</v>
      </c>
      <c r="G321" t="s">
        <v>825</v>
      </c>
      <c r="H321" t="s">
        <v>25</v>
      </c>
      <c r="I321" t="s">
        <v>26</v>
      </c>
      <c r="J321" t="s">
        <v>58</v>
      </c>
      <c r="K321" t="s">
        <v>36</v>
      </c>
      <c r="L321">
        <v>6</v>
      </c>
      <c r="M321">
        <v>7186</v>
      </c>
      <c r="N321">
        <v>9237</v>
      </c>
      <c r="O321">
        <v>0.04</v>
      </c>
      <c r="P321">
        <v>55422</v>
      </c>
      <c r="Q321">
        <v>12306</v>
      </c>
      <c r="R321">
        <v>1</v>
      </c>
    </row>
    <row r="322" spans="1:18" x14ac:dyDescent="0.25">
      <c r="A322" t="s">
        <v>333</v>
      </c>
      <c r="B322" t="s">
        <v>826</v>
      </c>
      <c r="C322" t="s">
        <v>82</v>
      </c>
      <c r="D322" t="s">
        <v>83</v>
      </c>
      <c r="E322" t="s">
        <v>51</v>
      </c>
      <c r="F322" t="s">
        <v>23</v>
      </c>
      <c r="G322" t="s">
        <v>569</v>
      </c>
      <c r="H322" t="s">
        <v>44</v>
      </c>
      <c r="I322" t="s">
        <v>45</v>
      </c>
      <c r="J322" t="s">
        <v>103</v>
      </c>
      <c r="K322" t="s">
        <v>36</v>
      </c>
      <c r="L322">
        <v>3</v>
      </c>
      <c r="M322">
        <v>9165</v>
      </c>
      <c r="N322">
        <v>11901</v>
      </c>
      <c r="O322">
        <v>0.02</v>
      </c>
      <c r="P322">
        <v>35703</v>
      </c>
      <c r="Q322">
        <v>8208</v>
      </c>
      <c r="R322">
        <v>3</v>
      </c>
    </row>
    <row r="323" spans="1:18" x14ac:dyDescent="0.25">
      <c r="A323" t="s">
        <v>827</v>
      </c>
      <c r="B323" t="s">
        <v>828</v>
      </c>
      <c r="C323" t="s">
        <v>131</v>
      </c>
      <c r="D323" t="s">
        <v>132</v>
      </c>
      <c r="E323" t="s">
        <v>64</v>
      </c>
      <c r="G323" t="s">
        <v>829</v>
      </c>
      <c r="H323" t="s">
        <v>44</v>
      </c>
      <c r="I323" t="s">
        <v>26</v>
      </c>
      <c r="J323" t="s">
        <v>120</v>
      </c>
      <c r="K323" t="s">
        <v>59</v>
      </c>
      <c r="L323">
        <v>1</v>
      </c>
      <c r="M323">
        <v>14330</v>
      </c>
      <c r="N323">
        <v>17507</v>
      </c>
      <c r="O323">
        <v>0.02</v>
      </c>
      <c r="P323">
        <v>17507</v>
      </c>
      <c r="Q323">
        <v>3177</v>
      </c>
      <c r="R323">
        <v>3</v>
      </c>
    </row>
    <row r="324" spans="1:18" x14ac:dyDescent="0.25">
      <c r="A324" t="s">
        <v>147</v>
      </c>
      <c r="B324" t="s">
        <v>547</v>
      </c>
      <c r="C324" t="s">
        <v>106</v>
      </c>
      <c r="D324" t="s">
        <v>107</v>
      </c>
      <c r="E324" t="s">
        <v>41</v>
      </c>
      <c r="F324" t="s">
        <v>92</v>
      </c>
      <c r="G324" t="s">
        <v>830</v>
      </c>
      <c r="H324" t="s">
        <v>25</v>
      </c>
      <c r="I324" t="s">
        <v>35</v>
      </c>
      <c r="J324" t="s">
        <v>53</v>
      </c>
      <c r="K324" t="s">
        <v>54</v>
      </c>
      <c r="L324">
        <v>6</v>
      </c>
      <c r="M324">
        <v>5453</v>
      </c>
      <c r="N324">
        <v>7898</v>
      </c>
      <c r="O324">
        <v>0</v>
      </c>
      <c r="P324">
        <v>47388</v>
      </c>
      <c r="Q324">
        <v>14670</v>
      </c>
      <c r="R324">
        <v>5</v>
      </c>
    </row>
    <row r="325" spans="1:18" x14ac:dyDescent="0.25">
      <c r="A325" t="s">
        <v>457</v>
      </c>
      <c r="B325" t="s">
        <v>831</v>
      </c>
      <c r="C325" t="s">
        <v>71</v>
      </c>
      <c r="D325" t="s">
        <v>72</v>
      </c>
      <c r="E325" t="s">
        <v>64</v>
      </c>
      <c r="F325" t="s">
        <v>23</v>
      </c>
      <c r="G325" t="s">
        <v>832</v>
      </c>
      <c r="H325" t="s">
        <v>44</v>
      </c>
      <c r="I325" t="s">
        <v>26</v>
      </c>
      <c r="J325" t="s">
        <v>46</v>
      </c>
      <c r="K325" t="s">
        <v>36</v>
      </c>
      <c r="L325">
        <v>4</v>
      </c>
      <c r="M325">
        <v>14604</v>
      </c>
      <c r="N325">
        <v>17618</v>
      </c>
      <c r="O325">
        <v>0.02</v>
      </c>
      <c r="P325">
        <v>70472</v>
      </c>
      <c r="Q325">
        <v>12056</v>
      </c>
      <c r="R325">
        <v>3</v>
      </c>
    </row>
    <row r="326" spans="1:18" x14ac:dyDescent="0.25">
      <c r="A326" t="s">
        <v>273</v>
      </c>
      <c r="B326" t="s">
        <v>708</v>
      </c>
      <c r="C326" t="s">
        <v>62</v>
      </c>
      <c r="D326" t="s">
        <v>63</v>
      </c>
      <c r="E326" t="s">
        <v>64</v>
      </c>
      <c r="F326" t="s">
        <v>23</v>
      </c>
      <c r="G326" t="s">
        <v>476</v>
      </c>
      <c r="H326" t="s">
        <v>44</v>
      </c>
      <c r="I326" t="s">
        <v>26</v>
      </c>
      <c r="J326" t="s">
        <v>58</v>
      </c>
      <c r="K326" t="s">
        <v>28</v>
      </c>
      <c r="L326">
        <v>7</v>
      </c>
      <c r="M326">
        <v>13693</v>
      </c>
      <c r="N326">
        <v>20760</v>
      </c>
      <c r="O326">
        <v>0.05</v>
      </c>
      <c r="P326">
        <v>145320</v>
      </c>
      <c r="Q326">
        <v>49469</v>
      </c>
      <c r="R326">
        <v>2</v>
      </c>
    </row>
    <row r="327" spans="1:18" x14ac:dyDescent="0.25">
      <c r="A327" t="s">
        <v>170</v>
      </c>
      <c r="B327" t="s">
        <v>833</v>
      </c>
      <c r="C327" t="s">
        <v>77</v>
      </c>
      <c r="D327" t="s">
        <v>78</v>
      </c>
      <c r="E327" t="s">
        <v>64</v>
      </c>
      <c r="F327" t="s">
        <v>73</v>
      </c>
      <c r="G327" t="s">
        <v>834</v>
      </c>
      <c r="H327" t="s">
        <v>44</v>
      </c>
      <c r="I327" t="s">
        <v>35</v>
      </c>
      <c r="J327" t="s">
        <v>46</v>
      </c>
      <c r="K327" t="s">
        <v>36</v>
      </c>
      <c r="L327">
        <v>8</v>
      </c>
      <c r="M327">
        <v>1717</v>
      </c>
      <c r="N327">
        <v>2706</v>
      </c>
      <c r="O327">
        <v>0.04</v>
      </c>
      <c r="P327">
        <v>21648</v>
      </c>
      <c r="Q327">
        <v>7912</v>
      </c>
    </row>
    <row r="328" spans="1:18" x14ac:dyDescent="0.25">
      <c r="A328" t="s">
        <v>835</v>
      </c>
      <c r="B328" t="s">
        <v>437</v>
      </c>
      <c r="C328" t="s">
        <v>117</v>
      </c>
      <c r="D328" t="s">
        <v>118</v>
      </c>
      <c r="E328" t="s">
        <v>41</v>
      </c>
      <c r="F328" t="s">
        <v>98</v>
      </c>
      <c r="G328" t="s">
        <v>836</v>
      </c>
      <c r="H328" t="s">
        <v>25</v>
      </c>
      <c r="I328" t="s">
        <v>26</v>
      </c>
      <c r="J328" t="s">
        <v>120</v>
      </c>
      <c r="K328" t="s">
        <v>59</v>
      </c>
      <c r="L328">
        <v>7</v>
      </c>
      <c r="M328">
        <v>6108</v>
      </c>
      <c r="N328">
        <v>6975</v>
      </c>
      <c r="O328">
        <v>0</v>
      </c>
      <c r="P328">
        <v>48825</v>
      </c>
      <c r="Q328">
        <v>6069</v>
      </c>
      <c r="R328">
        <v>5</v>
      </c>
    </row>
    <row r="329" spans="1:18" x14ac:dyDescent="0.25">
      <c r="A329" t="s">
        <v>236</v>
      </c>
      <c r="B329" t="s">
        <v>837</v>
      </c>
      <c r="C329" t="s">
        <v>77</v>
      </c>
      <c r="D329" t="s">
        <v>78</v>
      </c>
      <c r="E329" t="s">
        <v>64</v>
      </c>
      <c r="G329" t="s">
        <v>838</v>
      </c>
      <c r="H329" t="s">
        <v>44</v>
      </c>
      <c r="I329" t="s">
        <v>35</v>
      </c>
      <c r="J329" t="s">
        <v>53</v>
      </c>
      <c r="K329" t="s">
        <v>28</v>
      </c>
      <c r="L329">
        <v>5</v>
      </c>
      <c r="M329">
        <v>7432</v>
      </c>
      <c r="N329">
        <v>9776</v>
      </c>
      <c r="O329">
        <v>0</v>
      </c>
      <c r="P329">
        <v>48880</v>
      </c>
      <c r="Q329">
        <v>11720</v>
      </c>
      <c r="R329">
        <v>5</v>
      </c>
    </row>
    <row r="330" spans="1:18" x14ac:dyDescent="0.25">
      <c r="A330" t="s">
        <v>167</v>
      </c>
      <c r="B330" t="s">
        <v>839</v>
      </c>
      <c r="C330" t="s">
        <v>87</v>
      </c>
      <c r="D330" t="s">
        <v>88</v>
      </c>
      <c r="E330" t="s">
        <v>33</v>
      </c>
      <c r="F330" t="s">
        <v>98</v>
      </c>
      <c r="G330" t="s">
        <v>840</v>
      </c>
      <c r="H330" t="s">
        <v>44</v>
      </c>
      <c r="I330" t="s">
        <v>26</v>
      </c>
      <c r="J330" t="s">
        <v>27</v>
      </c>
      <c r="K330" t="s">
        <v>28</v>
      </c>
      <c r="L330">
        <v>1</v>
      </c>
      <c r="M330">
        <v>7167</v>
      </c>
      <c r="N330">
        <v>9784</v>
      </c>
      <c r="O330">
        <v>0.05</v>
      </c>
      <c r="P330">
        <v>9784</v>
      </c>
      <c r="Q330">
        <v>2617</v>
      </c>
      <c r="R330">
        <v>5</v>
      </c>
    </row>
    <row r="331" spans="1:18" x14ac:dyDescent="0.25">
      <c r="A331" t="s">
        <v>236</v>
      </c>
      <c r="B331" t="s">
        <v>841</v>
      </c>
      <c r="C331" t="s">
        <v>216</v>
      </c>
      <c r="D331" t="s">
        <v>217</v>
      </c>
      <c r="E331" t="s">
        <v>33</v>
      </c>
      <c r="F331" t="s">
        <v>92</v>
      </c>
      <c r="G331" t="s">
        <v>645</v>
      </c>
      <c r="H331" t="s">
        <v>25</v>
      </c>
      <c r="I331" t="s">
        <v>35</v>
      </c>
      <c r="J331" t="s">
        <v>75</v>
      </c>
      <c r="K331" t="s">
        <v>28</v>
      </c>
      <c r="L331">
        <v>4</v>
      </c>
      <c r="M331">
        <v>1957</v>
      </c>
      <c r="N331">
        <v>5508</v>
      </c>
      <c r="O331">
        <v>0.04</v>
      </c>
      <c r="P331">
        <v>22032</v>
      </c>
      <c r="Q331">
        <v>14204</v>
      </c>
      <c r="R331">
        <v>5</v>
      </c>
    </row>
    <row r="332" spans="1:18" x14ac:dyDescent="0.25">
      <c r="A332" t="s">
        <v>842</v>
      </c>
      <c r="B332" t="s">
        <v>843</v>
      </c>
      <c r="C332" t="s">
        <v>77</v>
      </c>
      <c r="D332" t="s">
        <v>78</v>
      </c>
      <c r="E332" t="s">
        <v>64</v>
      </c>
      <c r="F332" t="s">
        <v>23</v>
      </c>
      <c r="G332" t="s">
        <v>834</v>
      </c>
      <c r="H332" t="s">
        <v>44</v>
      </c>
      <c r="I332" t="s">
        <v>26</v>
      </c>
      <c r="J332" t="s">
        <v>27</v>
      </c>
      <c r="K332" t="s">
        <v>59</v>
      </c>
      <c r="L332">
        <v>5</v>
      </c>
      <c r="M332">
        <v>6992</v>
      </c>
      <c r="N332">
        <v>9046</v>
      </c>
      <c r="O332">
        <v>0.1</v>
      </c>
      <c r="P332">
        <v>45230</v>
      </c>
      <c r="Q332">
        <v>10270</v>
      </c>
      <c r="R332">
        <v>2</v>
      </c>
    </row>
    <row r="333" spans="1:18" x14ac:dyDescent="0.25">
      <c r="A333" t="s">
        <v>276</v>
      </c>
      <c r="B333" t="s">
        <v>577</v>
      </c>
      <c r="C333" t="s">
        <v>31</v>
      </c>
      <c r="D333" t="s">
        <v>32</v>
      </c>
      <c r="E333" t="s">
        <v>33</v>
      </c>
      <c r="F333" t="s">
        <v>98</v>
      </c>
      <c r="G333" t="s">
        <v>844</v>
      </c>
      <c r="H333" t="s">
        <v>44</v>
      </c>
      <c r="I333" t="s">
        <v>35</v>
      </c>
      <c r="J333" t="s">
        <v>46</v>
      </c>
      <c r="K333" t="s">
        <v>59</v>
      </c>
      <c r="L333">
        <v>4</v>
      </c>
      <c r="M333">
        <v>12277</v>
      </c>
      <c r="N333">
        <v>18526</v>
      </c>
      <c r="O333">
        <v>0.1</v>
      </c>
      <c r="P333">
        <v>74104</v>
      </c>
      <c r="Q333">
        <v>24996</v>
      </c>
      <c r="R333">
        <v>4</v>
      </c>
    </row>
    <row r="334" spans="1:18" x14ac:dyDescent="0.25">
      <c r="A334" t="s">
        <v>845</v>
      </c>
      <c r="B334" t="s">
        <v>846</v>
      </c>
      <c r="C334" t="s">
        <v>49</v>
      </c>
      <c r="D334" t="s">
        <v>50</v>
      </c>
      <c r="E334" t="s">
        <v>51</v>
      </c>
      <c r="F334" t="s">
        <v>42</v>
      </c>
      <c r="G334" t="s">
        <v>609</v>
      </c>
      <c r="H334" t="s">
        <v>44</v>
      </c>
      <c r="I334" t="s">
        <v>26</v>
      </c>
      <c r="J334" t="s">
        <v>103</v>
      </c>
      <c r="K334" t="s">
        <v>28</v>
      </c>
      <c r="L334">
        <v>4</v>
      </c>
      <c r="M334">
        <v>11328</v>
      </c>
      <c r="N334">
        <v>18446</v>
      </c>
      <c r="O334">
        <v>0.1</v>
      </c>
      <c r="P334">
        <v>73784</v>
      </c>
      <c r="Q334">
        <v>28472</v>
      </c>
      <c r="R334">
        <v>5</v>
      </c>
    </row>
    <row r="335" spans="1:18" x14ac:dyDescent="0.25">
      <c r="A335" t="s">
        <v>139</v>
      </c>
      <c r="B335" t="s">
        <v>847</v>
      </c>
      <c r="C335" t="s">
        <v>106</v>
      </c>
      <c r="D335" t="s">
        <v>107</v>
      </c>
      <c r="E335" t="s">
        <v>41</v>
      </c>
      <c r="F335" t="s">
        <v>73</v>
      </c>
      <c r="G335" t="s">
        <v>848</v>
      </c>
      <c r="H335" t="s">
        <v>44</v>
      </c>
      <c r="I335" t="s">
        <v>45</v>
      </c>
      <c r="J335" t="s">
        <v>75</v>
      </c>
      <c r="K335" t="s">
        <v>36</v>
      </c>
      <c r="L335">
        <v>1</v>
      </c>
      <c r="M335">
        <v>7989</v>
      </c>
      <c r="N335">
        <v>14805</v>
      </c>
      <c r="O335">
        <v>0.02</v>
      </c>
      <c r="P335">
        <v>14805</v>
      </c>
      <c r="Q335">
        <v>6816</v>
      </c>
    </row>
    <row r="336" spans="1:18" x14ac:dyDescent="0.25">
      <c r="A336" t="s">
        <v>214</v>
      </c>
      <c r="B336" t="s">
        <v>849</v>
      </c>
      <c r="C336" t="s">
        <v>278</v>
      </c>
      <c r="D336" t="s">
        <v>279</v>
      </c>
      <c r="E336" t="s">
        <v>64</v>
      </c>
      <c r="F336" t="s">
        <v>98</v>
      </c>
      <c r="G336" t="s">
        <v>850</v>
      </c>
      <c r="H336" t="s">
        <v>25</v>
      </c>
      <c r="I336" t="s">
        <v>35</v>
      </c>
      <c r="J336" t="s">
        <v>53</v>
      </c>
      <c r="K336" t="s">
        <v>28</v>
      </c>
      <c r="L336">
        <v>2</v>
      </c>
      <c r="M336">
        <v>7983</v>
      </c>
      <c r="N336">
        <v>12381</v>
      </c>
      <c r="O336">
        <v>0.1</v>
      </c>
      <c r="P336">
        <v>24762</v>
      </c>
      <c r="Q336">
        <v>8796</v>
      </c>
      <c r="R336">
        <v>1</v>
      </c>
    </row>
    <row r="337" spans="1:18" x14ac:dyDescent="0.25">
      <c r="A337" t="s">
        <v>785</v>
      </c>
      <c r="B337" t="s">
        <v>851</v>
      </c>
      <c r="C337" t="s">
        <v>39</v>
      </c>
      <c r="D337" t="s">
        <v>40</v>
      </c>
      <c r="E337" t="s">
        <v>41</v>
      </c>
      <c r="F337" t="s">
        <v>73</v>
      </c>
      <c r="G337" t="s">
        <v>852</v>
      </c>
      <c r="H337" t="s">
        <v>25</v>
      </c>
      <c r="I337" t="s">
        <v>45</v>
      </c>
      <c r="J337" t="s">
        <v>46</v>
      </c>
      <c r="K337" t="s">
        <v>36</v>
      </c>
      <c r="L337">
        <v>5</v>
      </c>
      <c r="M337">
        <v>11808</v>
      </c>
      <c r="N337">
        <v>14090</v>
      </c>
      <c r="O337">
        <v>0.02</v>
      </c>
      <c r="P337">
        <v>70450</v>
      </c>
      <c r="Q337">
        <v>11410</v>
      </c>
      <c r="R337">
        <v>1</v>
      </c>
    </row>
    <row r="338" spans="1:18" x14ac:dyDescent="0.25">
      <c r="A338" t="s">
        <v>596</v>
      </c>
      <c r="B338" t="s">
        <v>853</v>
      </c>
      <c r="C338" t="s">
        <v>141</v>
      </c>
      <c r="D338" t="s">
        <v>142</v>
      </c>
      <c r="E338" t="s">
        <v>51</v>
      </c>
      <c r="F338" t="s">
        <v>92</v>
      </c>
      <c r="G338" t="s">
        <v>854</v>
      </c>
      <c r="H338" t="s">
        <v>44</v>
      </c>
      <c r="I338" t="s">
        <v>35</v>
      </c>
      <c r="J338" t="s">
        <v>53</v>
      </c>
      <c r="K338" t="s">
        <v>28</v>
      </c>
      <c r="L338">
        <v>5</v>
      </c>
      <c r="M338">
        <v>7277</v>
      </c>
      <c r="N338">
        <v>9584</v>
      </c>
      <c r="O338">
        <v>0.04</v>
      </c>
      <c r="P338">
        <v>47920</v>
      </c>
      <c r="Q338">
        <v>11535</v>
      </c>
      <c r="R338">
        <v>1</v>
      </c>
    </row>
    <row r="339" spans="1:18" x14ac:dyDescent="0.25">
      <c r="A339" t="s">
        <v>206</v>
      </c>
      <c r="B339" t="s">
        <v>855</v>
      </c>
      <c r="C339" t="s">
        <v>131</v>
      </c>
      <c r="D339" t="s">
        <v>132</v>
      </c>
      <c r="E339" t="s">
        <v>64</v>
      </c>
      <c r="F339" t="s">
        <v>98</v>
      </c>
      <c r="G339" t="s">
        <v>856</v>
      </c>
      <c r="H339" t="s">
        <v>25</v>
      </c>
      <c r="I339" t="s">
        <v>45</v>
      </c>
      <c r="J339" t="s">
        <v>58</v>
      </c>
      <c r="K339" t="s">
        <v>36</v>
      </c>
      <c r="L339">
        <v>1</v>
      </c>
      <c r="M339">
        <v>5287</v>
      </c>
      <c r="N339">
        <v>11964</v>
      </c>
      <c r="O339">
        <v>0.04</v>
      </c>
      <c r="P339">
        <v>11964</v>
      </c>
      <c r="Q339">
        <v>6677</v>
      </c>
      <c r="R339">
        <v>2</v>
      </c>
    </row>
    <row r="340" spans="1:18" x14ac:dyDescent="0.25">
      <c r="A340" t="s">
        <v>164</v>
      </c>
      <c r="B340" t="s">
        <v>857</v>
      </c>
      <c r="C340" t="s">
        <v>31</v>
      </c>
      <c r="D340" t="s">
        <v>32</v>
      </c>
      <c r="E340" t="s">
        <v>33</v>
      </c>
      <c r="F340" t="s">
        <v>92</v>
      </c>
      <c r="G340" t="s">
        <v>858</v>
      </c>
      <c r="H340" t="s">
        <v>44</v>
      </c>
      <c r="I340" t="s">
        <v>26</v>
      </c>
      <c r="J340" t="s">
        <v>75</v>
      </c>
      <c r="K340" t="s">
        <v>54</v>
      </c>
      <c r="L340">
        <v>7</v>
      </c>
      <c r="M340">
        <v>6176</v>
      </c>
      <c r="N340">
        <v>13042</v>
      </c>
      <c r="O340">
        <v>0.02</v>
      </c>
      <c r="P340">
        <v>91294</v>
      </c>
      <c r="Q340">
        <v>48062</v>
      </c>
      <c r="R340">
        <v>4</v>
      </c>
    </row>
    <row r="341" spans="1:18" x14ac:dyDescent="0.25">
      <c r="A341" t="s">
        <v>761</v>
      </c>
      <c r="B341" t="s">
        <v>859</v>
      </c>
      <c r="C341" t="s">
        <v>82</v>
      </c>
      <c r="D341" t="s">
        <v>83</v>
      </c>
      <c r="E341" t="s">
        <v>51</v>
      </c>
      <c r="G341" t="s">
        <v>860</v>
      </c>
      <c r="H341" t="s">
        <v>25</v>
      </c>
      <c r="I341" t="s">
        <v>45</v>
      </c>
      <c r="J341" t="s">
        <v>53</v>
      </c>
      <c r="K341" t="s">
        <v>36</v>
      </c>
      <c r="L341">
        <v>4</v>
      </c>
      <c r="M341">
        <v>13730</v>
      </c>
      <c r="N341">
        <v>18544</v>
      </c>
      <c r="O341">
        <v>0</v>
      </c>
      <c r="P341">
        <v>74176</v>
      </c>
      <c r="Q341">
        <v>19256</v>
      </c>
      <c r="R341">
        <v>5</v>
      </c>
    </row>
    <row r="342" spans="1:18" x14ac:dyDescent="0.25">
      <c r="A342" t="s">
        <v>861</v>
      </c>
      <c r="B342" t="s">
        <v>862</v>
      </c>
      <c r="C342" t="s">
        <v>77</v>
      </c>
      <c r="D342" t="s">
        <v>78</v>
      </c>
      <c r="E342" t="s">
        <v>64</v>
      </c>
      <c r="F342" t="s">
        <v>98</v>
      </c>
      <c r="G342" t="s">
        <v>576</v>
      </c>
      <c r="H342" t="s">
        <v>44</v>
      </c>
      <c r="I342" t="s">
        <v>26</v>
      </c>
      <c r="J342" t="s">
        <v>120</v>
      </c>
      <c r="K342" t="s">
        <v>36</v>
      </c>
      <c r="L342">
        <v>6</v>
      </c>
      <c r="M342">
        <v>7114</v>
      </c>
      <c r="N342">
        <v>11929</v>
      </c>
      <c r="O342">
        <v>0.05</v>
      </c>
      <c r="P342">
        <v>71574</v>
      </c>
      <c r="Q342">
        <v>28890</v>
      </c>
      <c r="R342">
        <v>4</v>
      </c>
    </row>
    <row r="343" spans="1:18" x14ac:dyDescent="0.25">
      <c r="A343" t="s">
        <v>863</v>
      </c>
      <c r="B343" t="s">
        <v>864</v>
      </c>
      <c r="C343" t="s">
        <v>141</v>
      </c>
      <c r="D343" t="s">
        <v>142</v>
      </c>
      <c r="E343" t="s">
        <v>51</v>
      </c>
      <c r="F343" t="s">
        <v>92</v>
      </c>
      <c r="G343" t="s">
        <v>865</v>
      </c>
      <c r="H343" t="s">
        <v>44</v>
      </c>
      <c r="I343" t="s">
        <v>35</v>
      </c>
      <c r="J343" t="s">
        <v>46</v>
      </c>
      <c r="K343" t="s">
        <v>28</v>
      </c>
      <c r="L343">
        <v>7</v>
      </c>
      <c r="M343">
        <v>14671</v>
      </c>
      <c r="N343">
        <v>15632</v>
      </c>
      <c r="O343">
        <v>0.05</v>
      </c>
      <c r="P343">
        <v>109424</v>
      </c>
      <c r="Q343">
        <v>6727</v>
      </c>
      <c r="R343">
        <v>3</v>
      </c>
    </row>
    <row r="344" spans="1:18" x14ac:dyDescent="0.25">
      <c r="A344" t="s">
        <v>542</v>
      </c>
      <c r="B344" t="s">
        <v>350</v>
      </c>
      <c r="C344" t="s">
        <v>141</v>
      </c>
      <c r="D344" t="s">
        <v>142</v>
      </c>
      <c r="E344" t="s">
        <v>51</v>
      </c>
      <c r="F344" t="s">
        <v>98</v>
      </c>
      <c r="G344" t="s">
        <v>866</v>
      </c>
      <c r="H344" t="s">
        <v>44</v>
      </c>
      <c r="I344" t="s">
        <v>26</v>
      </c>
      <c r="J344" t="s">
        <v>27</v>
      </c>
      <c r="K344" t="s">
        <v>59</v>
      </c>
      <c r="L344">
        <v>6</v>
      </c>
      <c r="M344">
        <v>1405</v>
      </c>
      <c r="N344">
        <v>4307</v>
      </c>
      <c r="O344">
        <v>0.02</v>
      </c>
      <c r="P344">
        <v>25842</v>
      </c>
      <c r="Q344">
        <v>17412</v>
      </c>
      <c r="R344">
        <v>4</v>
      </c>
    </row>
    <row r="345" spans="1:18" x14ac:dyDescent="0.25">
      <c r="A345" t="s">
        <v>227</v>
      </c>
      <c r="B345" t="s">
        <v>798</v>
      </c>
      <c r="C345" t="s">
        <v>106</v>
      </c>
      <c r="D345" t="s">
        <v>107</v>
      </c>
      <c r="E345" t="s">
        <v>41</v>
      </c>
      <c r="F345" t="s">
        <v>23</v>
      </c>
      <c r="G345" t="s">
        <v>836</v>
      </c>
      <c r="H345" t="s">
        <v>25</v>
      </c>
      <c r="I345" t="s">
        <v>35</v>
      </c>
      <c r="J345" t="s">
        <v>120</v>
      </c>
      <c r="K345" t="s">
        <v>54</v>
      </c>
      <c r="L345">
        <v>8</v>
      </c>
      <c r="M345">
        <v>1731</v>
      </c>
      <c r="N345">
        <v>9713</v>
      </c>
      <c r="O345">
        <v>0.04</v>
      </c>
      <c r="P345">
        <v>77704</v>
      </c>
      <c r="Q345">
        <v>63856</v>
      </c>
      <c r="R345">
        <v>3</v>
      </c>
    </row>
    <row r="346" spans="1:18" x14ac:dyDescent="0.25">
      <c r="A346" t="s">
        <v>359</v>
      </c>
      <c r="B346" t="s">
        <v>867</v>
      </c>
      <c r="C346" t="s">
        <v>141</v>
      </c>
      <c r="D346" t="s">
        <v>142</v>
      </c>
      <c r="E346" t="s">
        <v>51</v>
      </c>
      <c r="F346" t="s">
        <v>73</v>
      </c>
      <c r="G346" t="s">
        <v>536</v>
      </c>
      <c r="H346" t="s">
        <v>25</v>
      </c>
      <c r="I346" t="s">
        <v>26</v>
      </c>
      <c r="J346" t="s">
        <v>75</v>
      </c>
      <c r="K346" t="s">
        <v>59</v>
      </c>
      <c r="L346">
        <v>4</v>
      </c>
      <c r="M346">
        <v>13604</v>
      </c>
      <c r="N346">
        <v>20044</v>
      </c>
      <c r="O346">
        <v>0.05</v>
      </c>
      <c r="P346">
        <v>80176</v>
      </c>
      <c r="Q346">
        <v>25760</v>
      </c>
      <c r="R346">
        <v>2</v>
      </c>
    </row>
    <row r="347" spans="1:18" x14ac:dyDescent="0.25">
      <c r="A347" t="s">
        <v>285</v>
      </c>
      <c r="B347" t="s">
        <v>644</v>
      </c>
      <c r="C347" t="s">
        <v>149</v>
      </c>
      <c r="D347" t="s">
        <v>150</v>
      </c>
      <c r="E347" t="s">
        <v>51</v>
      </c>
      <c r="G347" t="s">
        <v>668</v>
      </c>
      <c r="H347" t="s">
        <v>25</v>
      </c>
      <c r="I347" t="s">
        <v>35</v>
      </c>
      <c r="J347" t="s">
        <v>53</v>
      </c>
      <c r="K347" t="s">
        <v>28</v>
      </c>
      <c r="L347">
        <v>5</v>
      </c>
      <c r="M347">
        <v>14734</v>
      </c>
      <c r="N347">
        <v>15901</v>
      </c>
      <c r="O347">
        <v>0.1</v>
      </c>
      <c r="P347">
        <v>79505</v>
      </c>
      <c r="Q347">
        <v>5835</v>
      </c>
      <c r="R347">
        <v>5</v>
      </c>
    </row>
    <row r="348" spans="1:18" x14ac:dyDescent="0.25">
      <c r="A348" t="s">
        <v>372</v>
      </c>
      <c r="B348" t="s">
        <v>373</v>
      </c>
      <c r="C348" t="s">
        <v>278</v>
      </c>
      <c r="D348" t="s">
        <v>279</v>
      </c>
      <c r="E348" t="s">
        <v>64</v>
      </c>
      <c r="F348" t="s">
        <v>98</v>
      </c>
      <c r="G348" t="s">
        <v>868</v>
      </c>
      <c r="H348" t="s">
        <v>25</v>
      </c>
      <c r="I348" t="s">
        <v>26</v>
      </c>
      <c r="J348" t="s">
        <v>27</v>
      </c>
      <c r="K348" t="s">
        <v>36</v>
      </c>
      <c r="L348">
        <v>4</v>
      </c>
      <c r="M348">
        <v>3536</v>
      </c>
      <c r="N348">
        <v>4291</v>
      </c>
      <c r="O348">
        <v>0</v>
      </c>
      <c r="P348">
        <v>17164</v>
      </c>
      <c r="Q348">
        <v>3020</v>
      </c>
      <c r="R348">
        <v>4</v>
      </c>
    </row>
    <row r="349" spans="1:18" x14ac:dyDescent="0.25">
      <c r="A349" t="s">
        <v>869</v>
      </c>
      <c r="B349" t="s">
        <v>870</v>
      </c>
      <c r="C349" t="s">
        <v>149</v>
      </c>
      <c r="D349" t="s">
        <v>150</v>
      </c>
      <c r="E349" t="s">
        <v>51</v>
      </c>
      <c r="F349" t="s">
        <v>98</v>
      </c>
      <c r="G349" t="s">
        <v>871</v>
      </c>
      <c r="H349" t="s">
        <v>44</v>
      </c>
      <c r="I349" t="s">
        <v>45</v>
      </c>
      <c r="J349" t="s">
        <v>58</v>
      </c>
      <c r="K349" t="s">
        <v>54</v>
      </c>
      <c r="L349">
        <v>4</v>
      </c>
      <c r="M349">
        <v>2204</v>
      </c>
      <c r="N349">
        <v>9137</v>
      </c>
      <c r="O349">
        <v>0.05</v>
      </c>
      <c r="P349">
        <v>36548</v>
      </c>
      <c r="Q349">
        <v>27732</v>
      </c>
      <c r="R349">
        <v>4</v>
      </c>
    </row>
    <row r="350" spans="1:18" x14ac:dyDescent="0.25">
      <c r="A350" t="s">
        <v>129</v>
      </c>
      <c r="B350" t="s">
        <v>872</v>
      </c>
      <c r="C350" t="s">
        <v>241</v>
      </c>
      <c r="D350" t="s">
        <v>242</v>
      </c>
      <c r="E350" t="s">
        <v>22</v>
      </c>
      <c r="F350" t="s">
        <v>98</v>
      </c>
      <c r="G350" t="s">
        <v>741</v>
      </c>
      <c r="H350" t="s">
        <v>44</v>
      </c>
      <c r="I350" t="s">
        <v>35</v>
      </c>
      <c r="J350" t="s">
        <v>120</v>
      </c>
      <c r="K350" t="s">
        <v>59</v>
      </c>
      <c r="L350">
        <v>2</v>
      </c>
      <c r="M350">
        <v>13906</v>
      </c>
      <c r="N350">
        <v>21422</v>
      </c>
      <c r="O350">
        <v>0.05</v>
      </c>
      <c r="P350">
        <v>42844</v>
      </c>
      <c r="Q350">
        <v>15032</v>
      </c>
      <c r="R350">
        <v>5</v>
      </c>
    </row>
    <row r="351" spans="1:18" x14ac:dyDescent="0.25">
      <c r="A351" t="s">
        <v>94</v>
      </c>
      <c r="B351" t="s">
        <v>873</v>
      </c>
      <c r="C351" t="s">
        <v>71</v>
      </c>
      <c r="D351" t="s">
        <v>72</v>
      </c>
      <c r="E351" t="s">
        <v>64</v>
      </c>
      <c r="G351" t="s">
        <v>874</v>
      </c>
      <c r="H351" t="s">
        <v>44</v>
      </c>
      <c r="I351" t="s">
        <v>26</v>
      </c>
      <c r="J351" t="s">
        <v>75</v>
      </c>
      <c r="K351" t="s">
        <v>59</v>
      </c>
      <c r="L351">
        <v>3</v>
      </c>
      <c r="M351">
        <v>13961</v>
      </c>
      <c r="N351">
        <v>18557</v>
      </c>
      <c r="O351">
        <v>0.02</v>
      </c>
      <c r="P351">
        <v>55671</v>
      </c>
      <c r="Q351">
        <v>13788</v>
      </c>
      <c r="R351">
        <v>1</v>
      </c>
    </row>
    <row r="352" spans="1:18" x14ac:dyDescent="0.25">
      <c r="A352" t="s">
        <v>875</v>
      </c>
      <c r="B352" t="s">
        <v>876</v>
      </c>
      <c r="C352" t="s">
        <v>20</v>
      </c>
      <c r="D352" t="s">
        <v>21</v>
      </c>
      <c r="E352" t="s">
        <v>22</v>
      </c>
      <c r="G352" t="s">
        <v>775</v>
      </c>
      <c r="H352" t="s">
        <v>25</v>
      </c>
      <c r="I352" t="s">
        <v>26</v>
      </c>
      <c r="J352" t="s">
        <v>46</v>
      </c>
      <c r="K352" t="s">
        <v>59</v>
      </c>
      <c r="L352">
        <v>8</v>
      </c>
      <c r="M352">
        <v>2736</v>
      </c>
      <c r="N352">
        <v>4348</v>
      </c>
      <c r="O352">
        <v>0.1</v>
      </c>
      <c r="P352">
        <v>34784</v>
      </c>
      <c r="Q352">
        <v>12896</v>
      </c>
      <c r="R352">
        <v>1</v>
      </c>
    </row>
    <row r="353" spans="1:18" x14ac:dyDescent="0.25">
      <c r="A353" t="s">
        <v>66</v>
      </c>
      <c r="B353" t="s">
        <v>877</v>
      </c>
      <c r="C353" t="s">
        <v>71</v>
      </c>
      <c r="D353" t="s">
        <v>72</v>
      </c>
      <c r="E353" t="s">
        <v>64</v>
      </c>
      <c r="F353" t="s">
        <v>73</v>
      </c>
      <c r="G353" t="s">
        <v>878</v>
      </c>
      <c r="H353" t="s">
        <v>44</v>
      </c>
      <c r="I353" t="s">
        <v>35</v>
      </c>
      <c r="J353" t="s">
        <v>75</v>
      </c>
      <c r="K353" t="s">
        <v>36</v>
      </c>
      <c r="L353">
        <v>4</v>
      </c>
      <c r="M353">
        <v>1823</v>
      </c>
      <c r="N353">
        <v>6392</v>
      </c>
      <c r="O353">
        <v>0.05</v>
      </c>
      <c r="P353">
        <v>25568</v>
      </c>
      <c r="Q353">
        <v>18276</v>
      </c>
      <c r="R353">
        <v>4</v>
      </c>
    </row>
    <row r="354" spans="1:18" x14ac:dyDescent="0.25">
      <c r="A354" t="s">
        <v>393</v>
      </c>
      <c r="B354" t="s">
        <v>879</v>
      </c>
      <c r="C354" t="s">
        <v>39</v>
      </c>
      <c r="D354" t="s">
        <v>40</v>
      </c>
      <c r="E354" t="s">
        <v>41</v>
      </c>
      <c r="F354" t="s">
        <v>23</v>
      </c>
      <c r="G354" t="s">
        <v>880</v>
      </c>
      <c r="H354" t="s">
        <v>44</v>
      </c>
      <c r="I354" t="s">
        <v>35</v>
      </c>
      <c r="J354" t="s">
        <v>27</v>
      </c>
      <c r="K354" t="s">
        <v>54</v>
      </c>
      <c r="L354">
        <v>7</v>
      </c>
      <c r="M354">
        <v>5362</v>
      </c>
      <c r="N354">
        <v>8054</v>
      </c>
      <c r="O354">
        <v>0.02</v>
      </c>
      <c r="P354">
        <v>56378</v>
      </c>
      <c r="Q354">
        <v>18844</v>
      </c>
      <c r="R354">
        <v>1</v>
      </c>
    </row>
    <row r="355" spans="1:18" x14ac:dyDescent="0.25">
      <c r="A355" t="s">
        <v>710</v>
      </c>
      <c r="B355" t="s">
        <v>881</v>
      </c>
      <c r="C355" t="s">
        <v>141</v>
      </c>
      <c r="D355" t="s">
        <v>142</v>
      </c>
      <c r="E355" t="s">
        <v>51</v>
      </c>
      <c r="F355" t="s">
        <v>73</v>
      </c>
      <c r="G355" t="s">
        <v>882</v>
      </c>
      <c r="H355" t="s">
        <v>44</v>
      </c>
      <c r="I355" t="s">
        <v>26</v>
      </c>
      <c r="J355" t="s">
        <v>46</v>
      </c>
      <c r="K355" t="s">
        <v>54</v>
      </c>
      <c r="L355">
        <v>7</v>
      </c>
      <c r="M355">
        <v>8249</v>
      </c>
      <c r="N355">
        <v>15989</v>
      </c>
      <c r="O355">
        <v>0.05</v>
      </c>
      <c r="P355">
        <v>111923</v>
      </c>
      <c r="Q355">
        <v>54180</v>
      </c>
      <c r="R355">
        <v>1</v>
      </c>
    </row>
    <row r="356" spans="1:18" x14ac:dyDescent="0.25">
      <c r="A356" t="s">
        <v>309</v>
      </c>
      <c r="B356" t="s">
        <v>883</v>
      </c>
      <c r="C356" t="s">
        <v>62</v>
      </c>
      <c r="D356" t="s">
        <v>63</v>
      </c>
      <c r="E356" t="s">
        <v>64</v>
      </c>
      <c r="F356" t="s">
        <v>98</v>
      </c>
      <c r="G356" t="s">
        <v>600</v>
      </c>
      <c r="H356" t="s">
        <v>25</v>
      </c>
      <c r="I356" t="s">
        <v>26</v>
      </c>
      <c r="J356" t="s">
        <v>120</v>
      </c>
      <c r="K356" t="s">
        <v>36</v>
      </c>
      <c r="L356">
        <v>6</v>
      </c>
      <c r="M356">
        <v>6534</v>
      </c>
      <c r="N356">
        <v>12410</v>
      </c>
      <c r="O356">
        <v>0.1</v>
      </c>
      <c r="P356">
        <v>74460</v>
      </c>
      <c r="Q356">
        <v>35256</v>
      </c>
      <c r="R356">
        <v>5</v>
      </c>
    </row>
    <row r="357" spans="1:18" x14ac:dyDescent="0.25">
      <c r="A357" t="s">
        <v>134</v>
      </c>
      <c r="B357" t="s">
        <v>884</v>
      </c>
      <c r="C357" t="s">
        <v>31</v>
      </c>
      <c r="D357" t="s">
        <v>32</v>
      </c>
      <c r="E357" t="s">
        <v>33</v>
      </c>
      <c r="F357" t="s">
        <v>42</v>
      </c>
      <c r="G357" t="s">
        <v>885</v>
      </c>
      <c r="H357" t="s">
        <v>25</v>
      </c>
      <c r="I357" t="s">
        <v>35</v>
      </c>
      <c r="J357" t="s">
        <v>103</v>
      </c>
      <c r="K357" t="s">
        <v>54</v>
      </c>
      <c r="L357">
        <v>5</v>
      </c>
      <c r="M357">
        <v>5329</v>
      </c>
      <c r="N357">
        <v>7633</v>
      </c>
      <c r="O357">
        <v>0.1</v>
      </c>
      <c r="P357">
        <v>38165</v>
      </c>
      <c r="Q357">
        <v>11520</v>
      </c>
      <c r="R357">
        <v>1</v>
      </c>
    </row>
    <row r="358" spans="1:18" x14ac:dyDescent="0.25">
      <c r="A358" t="s">
        <v>886</v>
      </c>
      <c r="B358" t="s">
        <v>887</v>
      </c>
      <c r="C358" t="s">
        <v>117</v>
      </c>
      <c r="D358" t="s">
        <v>118</v>
      </c>
      <c r="E358" t="s">
        <v>41</v>
      </c>
      <c r="F358" t="s">
        <v>73</v>
      </c>
      <c r="G358" t="s">
        <v>888</v>
      </c>
      <c r="H358" t="s">
        <v>25</v>
      </c>
      <c r="I358" t="s">
        <v>26</v>
      </c>
      <c r="J358" t="s">
        <v>103</v>
      </c>
      <c r="K358" t="s">
        <v>54</v>
      </c>
      <c r="L358">
        <v>3</v>
      </c>
      <c r="M358">
        <v>9507</v>
      </c>
      <c r="N358">
        <v>13656</v>
      </c>
      <c r="O358">
        <v>0.1</v>
      </c>
      <c r="P358">
        <v>40968</v>
      </c>
      <c r="Q358">
        <v>12447</v>
      </c>
      <c r="R358">
        <v>4</v>
      </c>
    </row>
    <row r="359" spans="1:18" x14ac:dyDescent="0.25">
      <c r="A359" t="s">
        <v>559</v>
      </c>
      <c r="B359" t="s">
        <v>889</v>
      </c>
      <c r="C359" t="s">
        <v>20</v>
      </c>
      <c r="D359" t="s">
        <v>21</v>
      </c>
      <c r="E359" t="s">
        <v>22</v>
      </c>
      <c r="F359" t="s">
        <v>98</v>
      </c>
      <c r="G359" t="s">
        <v>709</v>
      </c>
      <c r="H359" t="s">
        <v>25</v>
      </c>
      <c r="I359" t="s">
        <v>26</v>
      </c>
      <c r="J359" t="s">
        <v>53</v>
      </c>
      <c r="K359" t="s">
        <v>59</v>
      </c>
      <c r="L359">
        <v>2</v>
      </c>
      <c r="M359">
        <v>13718</v>
      </c>
      <c r="N359">
        <v>19416</v>
      </c>
      <c r="O359">
        <v>0.1</v>
      </c>
      <c r="P359">
        <v>38832</v>
      </c>
      <c r="Q359">
        <v>11396</v>
      </c>
      <c r="R359">
        <v>3</v>
      </c>
    </row>
    <row r="360" spans="1:18" x14ac:dyDescent="0.25">
      <c r="A360" t="s">
        <v>890</v>
      </c>
      <c r="B360" t="s">
        <v>891</v>
      </c>
      <c r="C360" t="s">
        <v>241</v>
      </c>
      <c r="D360" t="s">
        <v>242</v>
      </c>
      <c r="E360" t="s">
        <v>22</v>
      </c>
      <c r="F360" t="s">
        <v>73</v>
      </c>
      <c r="G360" t="s">
        <v>892</v>
      </c>
      <c r="H360" t="s">
        <v>25</v>
      </c>
      <c r="I360" t="s">
        <v>26</v>
      </c>
      <c r="J360" t="s">
        <v>46</v>
      </c>
      <c r="K360" t="s">
        <v>54</v>
      </c>
      <c r="L360">
        <v>1</v>
      </c>
      <c r="M360">
        <v>14494</v>
      </c>
      <c r="N360">
        <v>15143</v>
      </c>
      <c r="O360">
        <v>0.1</v>
      </c>
      <c r="P360">
        <v>15143</v>
      </c>
      <c r="Q360">
        <v>649</v>
      </c>
      <c r="R360">
        <v>1</v>
      </c>
    </row>
    <row r="361" spans="1:18" x14ac:dyDescent="0.25">
      <c r="A361" t="s">
        <v>29</v>
      </c>
      <c r="B361" t="s">
        <v>893</v>
      </c>
      <c r="C361" t="s">
        <v>82</v>
      </c>
      <c r="D361" t="s">
        <v>83</v>
      </c>
      <c r="E361" t="s">
        <v>51</v>
      </c>
      <c r="F361" t="s">
        <v>23</v>
      </c>
      <c r="G361" t="s">
        <v>894</v>
      </c>
      <c r="H361" t="s">
        <v>25</v>
      </c>
      <c r="I361" t="s">
        <v>26</v>
      </c>
      <c r="J361" t="s">
        <v>27</v>
      </c>
      <c r="K361" t="s">
        <v>59</v>
      </c>
      <c r="L361">
        <v>2</v>
      </c>
      <c r="M361">
        <v>2779</v>
      </c>
      <c r="N361">
        <v>10119</v>
      </c>
      <c r="O361">
        <v>0.02</v>
      </c>
      <c r="P361">
        <v>20238</v>
      </c>
      <c r="Q361">
        <v>14680</v>
      </c>
    </row>
    <row r="362" spans="1:18" x14ac:dyDescent="0.25">
      <c r="A362" t="s">
        <v>678</v>
      </c>
      <c r="B362" t="s">
        <v>895</v>
      </c>
      <c r="C362" t="s">
        <v>141</v>
      </c>
      <c r="D362" t="s">
        <v>142</v>
      </c>
      <c r="E362" t="s">
        <v>51</v>
      </c>
      <c r="F362" t="s">
        <v>73</v>
      </c>
      <c r="G362" t="s">
        <v>896</v>
      </c>
      <c r="H362" t="s">
        <v>25</v>
      </c>
      <c r="I362" t="s">
        <v>35</v>
      </c>
      <c r="J362" t="s">
        <v>46</v>
      </c>
      <c r="K362" t="s">
        <v>54</v>
      </c>
      <c r="L362">
        <v>3</v>
      </c>
      <c r="M362">
        <v>1749</v>
      </c>
      <c r="N362">
        <v>5698</v>
      </c>
      <c r="O362">
        <v>0.1</v>
      </c>
      <c r="P362">
        <v>17094</v>
      </c>
      <c r="Q362">
        <v>11847</v>
      </c>
      <c r="R362">
        <v>3</v>
      </c>
    </row>
    <row r="363" spans="1:18" x14ac:dyDescent="0.25">
      <c r="A363" t="s">
        <v>471</v>
      </c>
      <c r="B363" t="s">
        <v>883</v>
      </c>
      <c r="C363" t="s">
        <v>82</v>
      </c>
      <c r="D363" t="s">
        <v>83</v>
      </c>
      <c r="E363" t="s">
        <v>51</v>
      </c>
      <c r="G363" t="s">
        <v>897</v>
      </c>
      <c r="H363" t="s">
        <v>44</v>
      </c>
      <c r="I363" t="s">
        <v>35</v>
      </c>
      <c r="J363" t="s">
        <v>27</v>
      </c>
      <c r="K363" t="s">
        <v>54</v>
      </c>
      <c r="L363">
        <v>7</v>
      </c>
      <c r="M363">
        <v>14032</v>
      </c>
      <c r="N363">
        <v>20558</v>
      </c>
      <c r="O363">
        <v>0.02</v>
      </c>
      <c r="P363">
        <v>143906</v>
      </c>
      <c r="Q363">
        <v>45682</v>
      </c>
      <c r="R363">
        <v>2</v>
      </c>
    </row>
    <row r="364" spans="1:18" x14ac:dyDescent="0.25">
      <c r="A364" t="s">
        <v>898</v>
      </c>
      <c r="B364" t="s">
        <v>899</v>
      </c>
      <c r="C364" t="s">
        <v>216</v>
      </c>
      <c r="D364" t="s">
        <v>217</v>
      </c>
      <c r="E364" t="s">
        <v>33</v>
      </c>
      <c r="F364" t="s">
        <v>98</v>
      </c>
      <c r="G364" t="s">
        <v>900</v>
      </c>
      <c r="H364" t="s">
        <v>44</v>
      </c>
      <c r="I364" t="s">
        <v>45</v>
      </c>
      <c r="J364" t="s">
        <v>27</v>
      </c>
      <c r="K364" t="s">
        <v>36</v>
      </c>
      <c r="L364">
        <v>1</v>
      </c>
      <c r="M364">
        <v>2280</v>
      </c>
      <c r="N364">
        <v>3480</v>
      </c>
      <c r="O364">
        <v>0.05</v>
      </c>
      <c r="P364">
        <v>3480</v>
      </c>
      <c r="Q364">
        <v>1200</v>
      </c>
    </row>
    <row r="365" spans="1:18" x14ac:dyDescent="0.25">
      <c r="A365" t="s">
        <v>502</v>
      </c>
      <c r="B365" t="s">
        <v>901</v>
      </c>
      <c r="C365" t="s">
        <v>149</v>
      </c>
      <c r="D365" t="s">
        <v>150</v>
      </c>
      <c r="E365" t="s">
        <v>51</v>
      </c>
      <c r="G365" t="s">
        <v>411</v>
      </c>
      <c r="H365" t="s">
        <v>25</v>
      </c>
      <c r="I365" t="s">
        <v>45</v>
      </c>
      <c r="J365" t="s">
        <v>103</v>
      </c>
      <c r="K365" t="s">
        <v>28</v>
      </c>
      <c r="L365">
        <v>4</v>
      </c>
      <c r="M365">
        <v>9800</v>
      </c>
      <c r="N365">
        <v>15797</v>
      </c>
      <c r="O365">
        <v>0.04</v>
      </c>
      <c r="P365">
        <v>63188</v>
      </c>
      <c r="Q365">
        <v>23988</v>
      </c>
    </row>
    <row r="366" spans="1:18" x14ac:dyDescent="0.25">
      <c r="A366" t="s">
        <v>312</v>
      </c>
      <c r="B366" t="s">
        <v>902</v>
      </c>
      <c r="C366" t="s">
        <v>62</v>
      </c>
      <c r="D366" t="s">
        <v>63</v>
      </c>
      <c r="E366" t="s">
        <v>64</v>
      </c>
      <c r="G366" t="s">
        <v>903</v>
      </c>
      <c r="H366" t="s">
        <v>44</v>
      </c>
      <c r="I366" t="s">
        <v>26</v>
      </c>
      <c r="J366" t="s">
        <v>120</v>
      </c>
      <c r="K366" t="s">
        <v>54</v>
      </c>
      <c r="L366">
        <v>7</v>
      </c>
      <c r="M366">
        <v>5583</v>
      </c>
      <c r="N366">
        <v>6488</v>
      </c>
      <c r="O366">
        <v>0.05</v>
      </c>
      <c r="P366">
        <v>45416</v>
      </c>
      <c r="Q366">
        <v>6335</v>
      </c>
      <c r="R366">
        <v>2</v>
      </c>
    </row>
    <row r="367" spans="1:18" x14ac:dyDescent="0.25">
      <c r="A367" t="s">
        <v>646</v>
      </c>
      <c r="B367" t="s">
        <v>904</v>
      </c>
      <c r="C367" t="s">
        <v>149</v>
      </c>
      <c r="D367" t="s">
        <v>150</v>
      </c>
      <c r="E367" t="s">
        <v>51</v>
      </c>
      <c r="F367" t="s">
        <v>23</v>
      </c>
      <c r="G367" t="s">
        <v>905</v>
      </c>
      <c r="H367" t="s">
        <v>25</v>
      </c>
      <c r="I367" t="s">
        <v>45</v>
      </c>
      <c r="J367" t="s">
        <v>120</v>
      </c>
      <c r="K367" t="s">
        <v>28</v>
      </c>
      <c r="L367">
        <v>7</v>
      </c>
      <c r="M367">
        <v>4250</v>
      </c>
      <c r="N367">
        <v>5714</v>
      </c>
      <c r="O367">
        <v>0.05</v>
      </c>
      <c r="P367">
        <v>39998</v>
      </c>
      <c r="Q367">
        <v>10248</v>
      </c>
      <c r="R367">
        <v>5</v>
      </c>
    </row>
    <row r="368" spans="1:18" x14ac:dyDescent="0.25">
      <c r="A368" t="s">
        <v>253</v>
      </c>
      <c r="B368" t="s">
        <v>906</v>
      </c>
      <c r="C368" t="s">
        <v>77</v>
      </c>
      <c r="D368" t="s">
        <v>78</v>
      </c>
      <c r="E368" t="s">
        <v>64</v>
      </c>
      <c r="F368" t="s">
        <v>92</v>
      </c>
      <c r="G368" t="s">
        <v>907</v>
      </c>
      <c r="H368" t="s">
        <v>44</v>
      </c>
      <c r="I368" t="s">
        <v>45</v>
      </c>
      <c r="J368" t="s">
        <v>75</v>
      </c>
      <c r="K368" t="s">
        <v>59</v>
      </c>
      <c r="L368">
        <v>4</v>
      </c>
      <c r="M368">
        <v>6805</v>
      </c>
      <c r="N368">
        <v>14310</v>
      </c>
      <c r="O368">
        <v>0.1</v>
      </c>
      <c r="P368">
        <v>57240</v>
      </c>
      <c r="Q368">
        <v>30020</v>
      </c>
      <c r="R368">
        <v>2</v>
      </c>
    </row>
    <row r="369" spans="1:18" x14ac:dyDescent="0.25">
      <c r="A369" t="s">
        <v>908</v>
      </c>
      <c r="B369" t="s">
        <v>909</v>
      </c>
      <c r="C369" t="s">
        <v>149</v>
      </c>
      <c r="D369" t="s">
        <v>150</v>
      </c>
      <c r="E369" t="s">
        <v>51</v>
      </c>
      <c r="F369" t="s">
        <v>92</v>
      </c>
      <c r="G369" t="s">
        <v>910</v>
      </c>
      <c r="H369" t="s">
        <v>44</v>
      </c>
      <c r="I369" t="s">
        <v>26</v>
      </c>
      <c r="J369" t="s">
        <v>27</v>
      </c>
      <c r="K369" t="s">
        <v>59</v>
      </c>
      <c r="L369">
        <v>5</v>
      </c>
      <c r="M369">
        <v>13962</v>
      </c>
      <c r="N369">
        <v>20113</v>
      </c>
      <c r="O369">
        <v>0.04</v>
      </c>
      <c r="P369">
        <v>100565</v>
      </c>
      <c r="Q369">
        <v>30755</v>
      </c>
    </row>
    <row r="370" spans="1:18" x14ac:dyDescent="0.25">
      <c r="A370" t="s">
        <v>911</v>
      </c>
      <c r="B370" t="s">
        <v>912</v>
      </c>
      <c r="C370" t="s">
        <v>77</v>
      </c>
      <c r="D370" t="s">
        <v>78</v>
      </c>
      <c r="E370" t="s">
        <v>64</v>
      </c>
      <c r="F370" t="s">
        <v>92</v>
      </c>
      <c r="G370" t="s">
        <v>411</v>
      </c>
      <c r="H370" t="s">
        <v>25</v>
      </c>
      <c r="I370" t="s">
        <v>35</v>
      </c>
      <c r="J370" t="s">
        <v>103</v>
      </c>
      <c r="K370" t="s">
        <v>59</v>
      </c>
      <c r="L370">
        <v>4</v>
      </c>
      <c r="M370">
        <v>7523</v>
      </c>
      <c r="N370">
        <v>10570</v>
      </c>
      <c r="O370">
        <v>0.04</v>
      </c>
      <c r="P370">
        <v>42280</v>
      </c>
      <c r="Q370">
        <v>12188</v>
      </c>
      <c r="R370">
        <v>4</v>
      </c>
    </row>
    <row r="371" spans="1:18" x14ac:dyDescent="0.25">
      <c r="A371" t="s">
        <v>309</v>
      </c>
      <c r="B371" t="s">
        <v>913</v>
      </c>
      <c r="C371" t="s">
        <v>117</v>
      </c>
      <c r="D371" t="s">
        <v>118</v>
      </c>
      <c r="E371" t="s">
        <v>41</v>
      </c>
      <c r="F371" t="s">
        <v>98</v>
      </c>
      <c r="G371" t="s">
        <v>914</v>
      </c>
      <c r="H371" t="s">
        <v>44</v>
      </c>
      <c r="I371" t="s">
        <v>45</v>
      </c>
      <c r="J371" t="s">
        <v>53</v>
      </c>
      <c r="K371" t="s">
        <v>54</v>
      </c>
      <c r="L371">
        <v>7</v>
      </c>
      <c r="M371">
        <v>10140</v>
      </c>
      <c r="N371">
        <v>13124</v>
      </c>
      <c r="O371">
        <v>0.02</v>
      </c>
      <c r="P371">
        <v>91868</v>
      </c>
      <c r="Q371">
        <v>20888</v>
      </c>
    </row>
    <row r="372" spans="1:18" x14ac:dyDescent="0.25">
      <c r="A372" t="s">
        <v>646</v>
      </c>
      <c r="B372" t="s">
        <v>915</v>
      </c>
      <c r="C372" t="s">
        <v>20</v>
      </c>
      <c r="D372" t="s">
        <v>21</v>
      </c>
      <c r="E372" t="s">
        <v>22</v>
      </c>
      <c r="F372" t="s">
        <v>98</v>
      </c>
      <c r="G372" t="s">
        <v>916</v>
      </c>
      <c r="H372" t="s">
        <v>25</v>
      </c>
      <c r="I372" t="s">
        <v>26</v>
      </c>
      <c r="J372" t="s">
        <v>27</v>
      </c>
      <c r="K372" t="s">
        <v>54</v>
      </c>
      <c r="L372">
        <v>4</v>
      </c>
      <c r="M372">
        <v>6104</v>
      </c>
      <c r="N372">
        <v>10446</v>
      </c>
      <c r="O372">
        <v>0.05</v>
      </c>
      <c r="P372">
        <v>41784</v>
      </c>
      <c r="Q372">
        <v>17368</v>
      </c>
      <c r="R372">
        <v>3</v>
      </c>
    </row>
    <row r="373" spans="1:18" x14ac:dyDescent="0.25">
      <c r="A373" t="s">
        <v>700</v>
      </c>
      <c r="B373" t="s">
        <v>917</v>
      </c>
      <c r="C373" t="s">
        <v>87</v>
      </c>
      <c r="D373" t="s">
        <v>88</v>
      </c>
      <c r="E373" t="s">
        <v>33</v>
      </c>
      <c r="F373" t="s">
        <v>42</v>
      </c>
      <c r="G373" t="s">
        <v>918</v>
      </c>
      <c r="H373" t="s">
        <v>44</v>
      </c>
      <c r="I373" t="s">
        <v>35</v>
      </c>
      <c r="J373" t="s">
        <v>27</v>
      </c>
      <c r="K373" t="s">
        <v>54</v>
      </c>
      <c r="L373">
        <v>8</v>
      </c>
      <c r="M373">
        <v>5578</v>
      </c>
      <c r="N373">
        <v>12786</v>
      </c>
      <c r="O373">
        <v>0.1</v>
      </c>
      <c r="P373">
        <v>102288</v>
      </c>
      <c r="Q373">
        <v>57664</v>
      </c>
      <c r="R373">
        <v>1</v>
      </c>
    </row>
    <row r="374" spans="1:18" x14ac:dyDescent="0.25">
      <c r="A374" t="s">
        <v>325</v>
      </c>
      <c r="B374" t="s">
        <v>919</v>
      </c>
      <c r="C374" t="s">
        <v>77</v>
      </c>
      <c r="D374" t="s">
        <v>78</v>
      </c>
      <c r="E374" t="s">
        <v>64</v>
      </c>
      <c r="F374" t="s">
        <v>92</v>
      </c>
      <c r="G374" t="s">
        <v>920</v>
      </c>
      <c r="H374" t="s">
        <v>25</v>
      </c>
      <c r="I374" t="s">
        <v>35</v>
      </c>
      <c r="J374" t="s">
        <v>103</v>
      </c>
      <c r="K374" t="s">
        <v>28</v>
      </c>
      <c r="L374">
        <v>4</v>
      </c>
      <c r="M374">
        <v>12800</v>
      </c>
      <c r="N374">
        <v>18576</v>
      </c>
      <c r="O374">
        <v>0</v>
      </c>
      <c r="P374">
        <v>74304</v>
      </c>
      <c r="Q374">
        <v>23104</v>
      </c>
      <c r="R374">
        <v>3</v>
      </c>
    </row>
    <row r="375" spans="1:18" x14ac:dyDescent="0.25">
      <c r="A375" t="s">
        <v>921</v>
      </c>
      <c r="B375" t="s">
        <v>291</v>
      </c>
      <c r="C375" t="s">
        <v>20</v>
      </c>
      <c r="D375" t="s">
        <v>21</v>
      </c>
      <c r="E375" t="s">
        <v>22</v>
      </c>
      <c r="F375" t="s">
        <v>92</v>
      </c>
      <c r="G375" t="s">
        <v>922</v>
      </c>
      <c r="H375" t="s">
        <v>44</v>
      </c>
      <c r="I375" t="s">
        <v>26</v>
      </c>
      <c r="J375" t="s">
        <v>75</v>
      </c>
      <c r="K375" t="s">
        <v>28</v>
      </c>
      <c r="L375">
        <v>1</v>
      </c>
      <c r="M375">
        <v>11262</v>
      </c>
      <c r="N375">
        <v>15280</v>
      </c>
      <c r="O375">
        <v>0.02</v>
      </c>
      <c r="P375">
        <v>15280</v>
      </c>
      <c r="Q375">
        <v>4018</v>
      </c>
      <c r="R375">
        <v>4</v>
      </c>
    </row>
    <row r="376" spans="1:18" x14ac:dyDescent="0.25">
      <c r="A376" t="s">
        <v>155</v>
      </c>
      <c r="B376" t="s">
        <v>923</v>
      </c>
      <c r="C376" t="s">
        <v>31</v>
      </c>
      <c r="D376" t="s">
        <v>32</v>
      </c>
      <c r="E376" t="s">
        <v>33</v>
      </c>
      <c r="G376" t="s">
        <v>924</v>
      </c>
      <c r="H376" t="s">
        <v>25</v>
      </c>
      <c r="I376" t="s">
        <v>26</v>
      </c>
      <c r="J376" t="s">
        <v>75</v>
      </c>
      <c r="K376" t="s">
        <v>36</v>
      </c>
      <c r="L376">
        <v>7</v>
      </c>
      <c r="M376">
        <v>4755</v>
      </c>
      <c r="N376">
        <v>12547</v>
      </c>
      <c r="O376">
        <v>0.05</v>
      </c>
      <c r="P376">
        <v>87829</v>
      </c>
      <c r="Q376">
        <v>54544</v>
      </c>
      <c r="R376">
        <v>5</v>
      </c>
    </row>
    <row r="377" spans="1:18" x14ac:dyDescent="0.25">
      <c r="A377" t="s">
        <v>925</v>
      </c>
      <c r="B377" t="s">
        <v>926</v>
      </c>
      <c r="C377" t="s">
        <v>71</v>
      </c>
      <c r="D377" t="s">
        <v>72</v>
      </c>
      <c r="E377" t="s">
        <v>64</v>
      </c>
      <c r="F377" t="s">
        <v>98</v>
      </c>
      <c r="G377" t="s">
        <v>920</v>
      </c>
      <c r="H377" t="s">
        <v>44</v>
      </c>
      <c r="I377" t="s">
        <v>35</v>
      </c>
      <c r="J377" t="s">
        <v>75</v>
      </c>
      <c r="K377" t="s">
        <v>28</v>
      </c>
      <c r="L377">
        <v>3</v>
      </c>
      <c r="M377">
        <v>12523</v>
      </c>
      <c r="N377">
        <v>19632</v>
      </c>
      <c r="O377">
        <v>0.04</v>
      </c>
      <c r="P377">
        <v>58896</v>
      </c>
      <c r="Q377">
        <v>21327</v>
      </c>
      <c r="R377">
        <v>3</v>
      </c>
    </row>
    <row r="378" spans="1:18" x14ac:dyDescent="0.25">
      <c r="A378" t="s">
        <v>236</v>
      </c>
      <c r="B378" t="s">
        <v>703</v>
      </c>
      <c r="C378" t="s">
        <v>141</v>
      </c>
      <c r="D378" t="s">
        <v>142</v>
      </c>
      <c r="E378" t="s">
        <v>51</v>
      </c>
      <c r="F378" t="s">
        <v>23</v>
      </c>
      <c r="G378" t="s">
        <v>384</v>
      </c>
      <c r="H378" t="s">
        <v>44</v>
      </c>
      <c r="I378" t="s">
        <v>45</v>
      </c>
      <c r="J378" t="s">
        <v>27</v>
      </c>
      <c r="K378" t="s">
        <v>28</v>
      </c>
      <c r="L378">
        <v>2</v>
      </c>
      <c r="M378">
        <v>9082</v>
      </c>
      <c r="N378">
        <v>9757</v>
      </c>
      <c r="O378">
        <v>0.05</v>
      </c>
      <c r="P378">
        <v>19514</v>
      </c>
      <c r="Q378">
        <v>1350</v>
      </c>
      <c r="R378">
        <v>4</v>
      </c>
    </row>
    <row r="379" spans="1:18" x14ac:dyDescent="0.25">
      <c r="A379" t="s">
        <v>457</v>
      </c>
      <c r="B379" t="s">
        <v>927</v>
      </c>
      <c r="C379" t="s">
        <v>117</v>
      </c>
      <c r="D379" t="s">
        <v>118</v>
      </c>
      <c r="E379" t="s">
        <v>41</v>
      </c>
      <c r="F379" t="s">
        <v>98</v>
      </c>
      <c r="G379" t="s">
        <v>93</v>
      </c>
      <c r="H379" t="s">
        <v>44</v>
      </c>
      <c r="I379" t="s">
        <v>45</v>
      </c>
      <c r="J379" t="s">
        <v>53</v>
      </c>
      <c r="K379" t="s">
        <v>54</v>
      </c>
      <c r="L379">
        <v>6</v>
      </c>
      <c r="M379">
        <v>9745</v>
      </c>
      <c r="N379">
        <v>13354</v>
      </c>
      <c r="O379">
        <v>0.04</v>
      </c>
      <c r="P379">
        <v>80124</v>
      </c>
      <c r="Q379">
        <v>21654</v>
      </c>
      <c r="R379">
        <v>2</v>
      </c>
    </row>
    <row r="380" spans="1:18" x14ac:dyDescent="0.25">
      <c r="A380" t="s">
        <v>928</v>
      </c>
      <c r="B380" t="s">
        <v>385</v>
      </c>
      <c r="C380" t="s">
        <v>62</v>
      </c>
      <c r="D380" t="s">
        <v>63</v>
      </c>
      <c r="E380" t="s">
        <v>64</v>
      </c>
      <c r="F380" t="s">
        <v>42</v>
      </c>
      <c r="G380" t="s">
        <v>929</v>
      </c>
      <c r="H380" t="s">
        <v>44</v>
      </c>
      <c r="I380" t="s">
        <v>26</v>
      </c>
      <c r="J380" t="s">
        <v>58</v>
      </c>
      <c r="K380" t="s">
        <v>28</v>
      </c>
      <c r="L380">
        <v>7</v>
      </c>
      <c r="M380">
        <v>8441</v>
      </c>
      <c r="N380">
        <v>14884</v>
      </c>
      <c r="O380">
        <v>0.02</v>
      </c>
      <c r="P380">
        <v>104188</v>
      </c>
      <c r="Q380">
        <v>45101</v>
      </c>
      <c r="R380">
        <v>4</v>
      </c>
    </row>
    <row r="381" spans="1:18" x14ac:dyDescent="0.25">
      <c r="A381" t="s">
        <v>372</v>
      </c>
      <c r="B381" t="s">
        <v>930</v>
      </c>
      <c r="C381" t="s">
        <v>96</v>
      </c>
      <c r="D381" t="s">
        <v>97</v>
      </c>
      <c r="E381" t="s">
        <v>51</v>
      </c>
      <c r="F381" t="s">
        <v>23</v>
      </c>
      <c r="G381" t="s">
        <v>151</v>
      </c>
      <c r="H381" t="s">
        <v>44</v>
      </c>
      <c r="I381" t="s">
        <v>26</v>
      </c>
      <c r="J381" t="s">
        <v>53</v>
      </c>
      <c r="K381" t="s">
        <v>59</v>
      </c>
      <c r="L381">
        <v>4</v>
      </c>
      <c r="M381">
        <v>3427</v>
      </c>
      <c r="N381">
        <v>4932</v>
      </c>
      <c r="O381">
        <v>0.1</v>
      </c>
      <c r="P381">
        <v>19728</v>
      </c>
      <c r="Q381">
        <v>6020</v>
      </c>
      <c r="R381">
        <v>1</v>
      </c>
    </row>
    <row r="382" spans="1:18" x14ac:dyDescent="0.25">
      <c r="A382" t="s">
        <v>29</v>
      </c>
      <c r="B382" t="s">
        <v>931</v>
      </c>
      <c r="C382" t="s">
        <v>82</v>
      </c>
      <c r="D382" t="s">
        <v>83</v>
      </c>
      <c r="E382" t="s">
        <v>51</v>
      </c>
      <c r="F382" t="s">
        <v>98</v>
      </c>
      <c r="G382" t="s">
        <v>932</v>
      </c>
      <c r="H382" t="s">
        <v>44</v>
      </c>
      <c r="I382" t="s">
        <v>26</v>
      </c>
      <c r="J382" t="s">
        <v>53</v>
      </c>
      <c r="K382" t="s">
        <v>59</v>
      </c>
      <c r="L382">
        <v>8</v>
      </c>
      <c r="M382">
        <v>4734</v>
      </c>
      <c r="N382">
        <v>6577</v>
      </c>
      <c r="O382">
        <v>0.04</v>
      </c>
      <c r="P382">
        <v>52616</v>
      </c>
      <c r="Q382">
        <v>14744</v>
      </c>
      <c r="R382">
        <v>3</v>
      </c>
    </row>
    <row r="383" spans="1:18" x14ac:dyDescent="0.25">
      <c r="A383" t="s">
        <v>933</v>
      </c>
      <c r="B383" t="s">
        <v>934</v>
      </c>
      <c r="C383" t="s">
        <v>216</v>
      </c>
      <c r="D383" t="s">
        <v>217</v>
      </c>
      <c r="E383" t="s">
        <v>33</v>
      </c>
      <c r="G383" t="s">
        <v>935</v>
      </c>
      <c r="H383" t="s">
        <v>44</v>
      </c>
      <c r="I383" t="s">
        <v>45</v>
      </c>
      <c r="J383" t="s">
        <v>103</v>
      </c>
      <c r="K383" t="s">
        <v>28</v>
      </c>
      <c r="L383">
        <v>8</v>
      </c>
      <c r="M383">
        <v>5706</v>
      </c>
      <c r="N383">
        <v>13697</v>
      </c>
      <c r="O383">
        <v>0</v>
      </c>
      <c r="P383">
        <v>109576</v>
      </c>
      <c r="Q383">
        <v>63928</v>
      </c>
      <c r="R383">
        <v>2</v>
      </c>
    </row>
    <row r="384" spans="1:18" x14ac:dyDescent="0.25">
      <c r="A384" t="s">
        <v>925</v>
      </c>
      <c r="B384" t="s">
        <v>936</v>
      </c>
      <c r="C384" t="s">
        <v>216</v>
      </c>
      <c r="D384" t="s">
        <v>217</v>
      </c>
      <c r="E384" t="s">
        <v>33</v>
      </c>
      <c r="F384" t="s">
        <v>73</v>
      </c>
      <c r="G384" t="s">
        <v>495</v>
      </c>
      <c r="H384" t="s">
        <v>44</v>
      </c>
      <c r="I384" t="s">
        <v>45</v>
      </c>
      <c r="J384" t="s">
        <v>53</v>
      </c>
      <c r="K384" t="s">
        <v>54</v>
      </c>
      <c r="L384">
        <v>3</v>
      </c>
      <c r="M384">
        <v>11960</v>
      </c>
      <c r="N384">
        <v>13722</v>
      </c>
      <c r="O384">
        <v>0.05</v>
      </c>
      <c r="P384">
        <v>41166</v>
      </c>
      <c r="Q384">
        <v>5286</v>
      </c>
      <c r="R384">
        <v>5</v>
      </c>
    </row>
    <row r="385" spans="1:18" x14ac:dyDescent="0.25">
      <c r="A385" t="s">
        <v>827</v>
      </c>
      <c r="B385" t="s">
        <v>937</v>
      </c>
      <c r="C385" t="s">
        <v>106</v>
      </c>
      <c r="D385" t="s">
        <v>107</v>
      </c>
      <c r="E385" t="s">
        <v>41</v>
      </c>
      <c r="G385" t="s">
        <v>938</v>
      </c>
      <c r="H385" t="s">
        <v>44</v>
      </c>
      <c r="I385" t="s">
        <v>26</v>
      </c>
      <c r="J385" t="s">
        <v>27</v>
      </c>
      <c r="K385" t="s">
        <v>28</v>
      </c>
      <c r="L385">
        <v>4</v>
      </c>
      <c r="M385">
        <v>3560</v>
      </c>
      <c r="N385">
        <v>4245</v>
      </c>
      <c r="O385">
        <v>0</v>
      </c>
      <c r="P385">
        <v>16980</v>
      </c>
      <c r="Q385">
        <v>2740</v>
      </c>
      <c r="R385">
        <v>4</v>
      </c>
    </row>
    <row r="386" spans="1:18" x14ac:dyDescent="0.25">
      <c r="A386" t="s">
        <v>646</v>
      </c>
      <c r="B386" t="s">
        <v>231</v>
      </c>
      <c r="C386" t="s">
        <v>96</v>
      </c>
      <c r="D386" t="s">
        <v>97</v>
      </c>
      <c r="E386" t="s">
        <v>51</v>
      </c>
      <c r="F386" t="s">
        <v>23</v>
      </c>
      <c r="G386" t="s">
        <v>939</v>
      </c>
      <c r="H386" t="s">
        <v>25</v>
      </c>
      <c r="I386" t="s">
        <v>26</v>
      </c>
      <c r="J386" t="s">
        <v>46</v>
      </c>
      <c r="K386" t="s">
        <v>28</v>
      </c>
      <c r="L386">
        <v>4</v>
      </c>
      <c r="M386">
        <v>7382</v>
      </c>
      <c r="N386">
        <v>10904</v>
      </c>
      <c r="O386">
        <v>0.04</v>
      </c>
      <c r="P386">
        <v>43616</v>
      </c>
      <c r="Q386">
        <v>14088</v>
      </c>
      <c r="R386">
        <v>2</v>
      </c>
    </row>
    <row r="387" spans="1:18" x14ac:dyDescent="0.25">
      <c r="A387" t="s">
        <v>534</v>
      </c>
      <c r="B387" t="s">
        <v>940</v>
      </c>
      <c r="C387" t="s">
        <v>82</v>
      </c>
      <c r="D387" t="s">
        <v>83</v>
      </c>
      <c r="E387" t="s">
        <v>51</v>
      </c>
      <c r="G387" t="s">
        <v>693</v>
      </c>
      <c r="H387" t="s">
        <v>44</v>
      </c>
      <c r="I387" t="s">
        <v>35</v>
      </c>
      <c r="J387" t="s">
        <v>75</v>
      </c>
      <c r="K387" t="s">
        <v>54</v>
      </c>
      <c r="L387">
        <v>3</v>
      </c>
      <c r="M387">
        <v>5484</v>
      </c>
      <c r="N387">
        <v>9892</v>
      </c>
      <c r="O387">
        <v>0.04</v>
      </c>
      <c r="P387">
        <v>29676</v>
      </c>
      <c r="Q387">
        <v>13224</v>
      </c>
      <c r="R387">
        <v>1</v>
      </c>
    </row>
    <row r="388" spans="1:18" x14ac:dyDescent="0.25">
      <c r="A388" t="s">
        <v>115</v>
      </c>
      <c r="B388" t="s">
        <v>941</v>
      </c>
      <c r="C388" t="s">
        <v>77</v>
      </c>
      <c r="D388" t="s">
        <v>78</v>
      </c>
      <c r="E388" t="s">
        <v>64</v>
      </c>
      <c r="F388" t="s">
        <v>23</v>
      </c>
      <c r="G388" t="s">
        <v>536</v>
      </c>
      <c r="H388" t="s">
        <v>25</v>
      </c>
      <c r="I388" t="s">
        <v>45</v>
      </c>
      <c r="J388" t="s">
        <v>120</v>
      </c>
      <c r="K388" t="s">
        <v>36</v>
      </c>
      <c r="L388">
        <v>3</v>
      </c>
      <c r="M388">
        <v>1246</v>
      </c>
      <c r="N388">
        <v>5219</v>
      </c>
      <c r="O388">
        <v>0.05</v>
      </c>
      <c r="P388">
        <v>15657</v>
      </c>
      <c r="Q388">
        <v>11919</v>
      </c>
      <c r="R388">
        <v>4</v>
      </c>
    </row>
    <row r="389" spans="1:18" x14ac:dyDescent="0.25">
      <c r="A389" t="s">
        <v>942</v>
      </c>
      <c r="B389" t="s">
        <v>943</v>
      </c>
      <c r="C389" t="s">
        <v>106</v>
      </c>
      <c r="D389" t="s">
        <v>107</v>
      </c>
      <c r="E389" t="s">
        <v>41</v>
      </c>
      <c r="G389" t="s">
        <v>944</v>
      </c>
      <c r="H389" t="s">
        <v>25</v>
      </c>
      <c r="I389" t="s">
        <v>35</v>
      </c>
      <c r="J389" t="s">
        <v>58</v>
      </c>
      <c r="K389" t="s">
        <v>28</v>
      </c>
      <c r="L389">
        <v>3</v>
      </c>
      <c r="M389">
        <v>4908</v>
      </c>
      <c r="N389">
        <v>8825</v>
      </c>
      <c r="O389">
        <v>0.05</v>
      </c>
      <c r="P389">
        <v>26475</v>
      </c>
      <c r="Q389">
        <v>11751</v>
      </c>
    </row>
    <row r="390" spans="1:18" x14ac:dyDescent="0.25">
      <c r="A390" t="s">
        <v>945</v>
      </c>
      <c r="B390" t="s">
        <v>153</v>
      </c>
      <c r="C390" t="s">
        <v>216</v>
      </c>
      <c r="D390" t="s">
        <v>217</v>
      </c>
      <c r="E390" t="s">
        <v>33</v>
      </c>
      <c r="F390" t="s">
        <v>92</v>
      </c>
      <c r="G390" t="s">
        <v>946</v>
      </c>
      <c r="H390" t="s">
        <v>44</v>
      </c>
      <c r="I390" t="s">
        <v>26</v>
      </c>
      <c r="J390" t="s">
        <v>75</v>
      </c>
      <c r="K390" t="s">
        <v>54</v>
      </c>
      <c r="L390">
        <v>7</v>
      </c>
      <c r="M390">
        <v>14321</v>
      </c>
      <c r="N390">
        <v>19161</v>
      </c>
      <c r="O390">
        <v>0.1</v>
      </c>
      <c r="P390">
        <v>134127</v>
      </c>
      <c r="Q390">
        <v>33880</v>
      </c>
    </row>
    <row r="391" spans="1:18" x14ac:dyDescent="0.25">
      <c r="A391" t="s">
        <v>412</v>
      </c>
      <c r="B391" t="s">
        <v>692</v>
      </c>
      <c r="C391" t="s">
        <v>117</v>
      </c>
      <c r="D391" t="s">
        <v>118</v>
      </c>
      <c r="E391" t="s">
        <v>41</v>
      </c>
      <c r="F391" t="s">
        <v>92</v>
      </c>
      <c r="G391" t="s">
        <v>947</v>
      </c>
      <c r="H391" t="s">
        <v>25</v>
      </c>
      <c r="I391" t="s">
        <v>26</v>
      </c>
      <c r="J391" t="s">
        <v>58</v>
      </c>
      <c r="K391" t="s">
        <v>54</v>
      </c>
      <c r="L391">
        <v>8</v>
      </c>
      <c r="M391">
        <v>9581</v>
      </c>
      <c r="N391">
        <v>11546</v>
      </c>
      <c r="O391">
        <v>0.1</v>
      </c>
      <c r="P391">
        <v>92368</v>
      </c>
      <c r="Q391">
        <v>15720</v>
      </c>
      <c r="R391">
        <v>4</v>
      </c>
    </row>
    <row r="392" spans="1:18" x14ac:dyDescent="0.25">
      <c r="A392" t="s">
        <v>948</v>
      </c>
      <c r="B392" t="s">
        <v>949</v>
      </c>
      <c r="C392" t="s">
        <v>87</v>
      </c>
      <c r="D392" t="s">
        <v>88</v>
      </c>
      <c r="E392" t="s">
        <v>33</v>
      </c>
      <c r="G392" t="s">
        <v>950</v>
      </c>
      <c r="H392" t="s">
        <v>25</v>
      </c>
      <c r="I392" t="s">
        <v>45</v>
      </c>
      <c r="J392" t="s">
        <v>75</v>
      </c>
      <c r="K392" t="s">
        <v>36</v>
      </c>
      <c r="L392">
        <v>1</v>
      </c>
      <c r="M392">
        <v>1481</v>
      </c>
      <c r="N392">
        <v>5225</v>
      </c>
      <c r="O392">
        <v>0.05</v>
      </c>
      <c r="P392">
        <v>5225</v>
      </c>
      <c r="Q392">
        <v>3744</v>
      </c>
      <c r="R392">
        <v>5</v>
      </c>
    </row>
    <row r="393" spans="1:18" x14ac:dyDescent="0.25">
      <c r="A393" t="s">
        <v>90</v>
      </c>
      <c r="B393" t="s">
        <v>383</v>
      </c>
      <c r="C393" t="s">
        <v>49</v>
      </c>
      <c r="D393" t="s">
        <v>50</v>
      </c>
      <c r="E393" t="s">
        <v>51</v>
      </c>
      <c r="F393" t="s">
        <v>92</v>
      </c>
      <c r="G393" t="s">
        <v>441</v>
      </c>
      <c r="H393" t="s">
        <v>25</v>
      </c>
      <c r="I393" t="s">
        <v>35</v>
      </c>
      <c r="J393" t="s">
        <v>53</v>
      </c>
      <c r="K393" t="s">
        <v>59</v>
      </c>
      <c r="L393">
        <v>4</v>
      </c>
      <c r="M393">
        <v>3278</v>
      </c>
      <c r="N393">
        <v>8860</v>
      </c>
      <c r="O393">
        <v>0.05</v>
      </c>
      <c r="P393">
        <v>35440</v>
      </c>
      <c r="Q393">
        <v>22328</v>
      </c>
    </row>
    <row r="394" spans="1:18" x14ac:dyDescent="0.25">
      <c r="A394" t="s">
        <v>270</v>
      </c>
      <c r="B394" t="s">
        <v>365</v>
      </c>
      <c r="C394" t="s">
        <v>20</v>
      </c>
      <c r="D394" t="s">
        <v>21</v>
      </c>
      <c r="E394" t="s">
        <v>22</v>
      </c>
      <c r="F394" t="s">
        <v>23</v>
      </c>
      <c r="G394" t="s">
        <v>770</v>
      </c>
      <c r="H394" t="s">
        <v>44</v>
      </c>
      <c r="I394" t="s">
        <v>45</v>
      </c>
      <c r="J394" t="s">
        <v>27</v>
      </c>
      <c r="K394" t="s">
        <v>59</v>
      </c>
      <c r="L394">
        <v>6</v>
      </c>
      <c r="M394">
        <v>11692</v>
      </c>
      <c r="N394">
        <v>12684</v>
      </c>
      <c r="O394">
        <v>0.02</v>
      </c>
      <c r="P394">
        <v>76104</v>
      </c>
      <c r="Q394">
        <v>5952</v>
      </c>
      <c r="R394">
        <v>1</v>
      </c>
    </row>
    <row r="395" spans="1:18" x14ac:dyDescent="0.25">
      <c r="A395" t="s">
        <v>233</v>
      </c>
      <c r="B395" t="s">
        <v>257</v>
      </c>
      <c r="C395" t="s">
        <v>96</v>
      </c>
      <c r="D395" t="s">
        <v>97</v>
      </c>
      <c r="E395" t="s">
        <v>51</v>
      </c>
      <c r="F395" t="s">
        <v>73</v>
      </c>
      <c r="G395" t="s">
        <v>951</v>
      </c>
      <c r="H395" t="s">
        <v>25</v>
      </c>
      <c r="I395" t="s">
        <v>35</v>
      </c>
      <c r="J395" t="s">
        <v>53</v>
      </c>
      <c r="K395" t="s">
        <v>36</v>
      </c>
      <c r="L395">
        <v>1</v>
      </c>
      <c r="M395">
        <v>7910</v>
      </c>
      <c r="N395">
        <v>9104</v>
      </c>
      <c r="O395">
        <v>0.02</v>
      </c>
      <c r="P395">
        <v>9104</v>
      </c>
      <c r="Q395">
        <v>1194</v>
      </c>
      <c r="R395">
        <v>4</v>
      </c>
    </row>
    <row r="396" spans="1:18" x14ac:dyDescent="0.25">
      <c r="A396" t="s">
        <v>688</v>
      </c>
      <c r="B396" t="s">
        <v>952</v>
      </c>
      <c r="C396" t="s">
        <v>39</v>
      </c>
      <c r="D396" t="s">
        <v>40</v>
      </c>
      <c r="E396" t="s">
        <v>41</v>
      </c>
      <c r="F396" t="s">
        <v>73</v>
      </c>
      <c r="G396" t="s">
        <v>953</v>
      </c>
      <c r="H396" t="s">
        <v>44</v>
      </c>
      <c r="I396" t="s">
        <v>26</v>
      </c>
      <c r="J396" t="s">
        <v>53</v>
      </c>
      <c r="K396" t="s">
        <v>28</v>
      </c>
      <c r="L396">
        <v>4</v>
      </c>
      <c r="M396">
        <v>1011</v>
      </c>
      <c r="N396">
        <v>4626</v>
      </c>
      <c r="O396">
        <v>0.1</v>
      </c>
      <c r="P396">
        <v>18504</v>
      </c>
      <c r="Q396">
        <v>14460</v>
      </c>
      <c r="R396">
        <v>3</v>
      </c>
    </row>
    <row r="397" spans="1:18" x14ac:dyDescent="0.25">
      <c r="A397" t="s">
        <v>615</v>
      </c>
      <c r="B397" t="s">
        <v>954</v>
      </c>
      <c r="C397" t="s">
        <v>96</v>
      </c>
      <c r="D397" t="s">
        <v>97</v>
      </c>
      <c r="E397" t="s">
        <v>51</v>
      </c>
      <c r="F397" t="s">
        <v>23</v>
      </c>
      <c r="G397" t="s">
        <v>874</v>
      </c>
      <c r="H397" t="s">
        <v>44</v>
      </c>
      <c r="I397" t="s">
        <v>26</v>
      </c>
      <c r="J397" t="s">
        <v>27</v>
      </c>
      <c r="K397" t="s">
        <v>36</v>
      </c>
      <c r="L397">
        <v>3</v>
      </c>
      <c r="M397">
        <v>10810</v>
      </c>
      <c r="N397">
        <v>17943</v>
      </c>
      <c r="O397">
        <v>0.05</v>
      </c>
      <c r="P397">
        <v>53829</v>
      </c>
      <c r="Q397">
        <v>21399</v>
      </c>
    </row>
    <row r="398" spans="1:18" x14ac:dyDescent="0.25">
      <c r="A398" t="s">
        <v>955</v>
      </c>
      <c r="B398" t="s">
        <v>956</v>
      </c>
      <c r="C398" t="s">
        <v>31</v>
      </c>
      <c r="D398" t="s">
        <v>32</v>
      </c>
      <c r="E398" t="s">
        <v>33</v>
      </c>
      <c r="G398" t="s">
        <v>166</v>
      </c>
      <c r="H398" t="s">
        <v>44</v>
      </c>
      <c r="I398" t="s">
        <v>35</v>
      </c>
      <c r="J398" t="s">
        <v>46</v>
      </c>
      <c r="K398" t="s">
        <v>36</v>
      </c>
      <c r="L398">
        <v>5</v>
      </c>
      <c r="M398">
        <v>1658</v>
      </c>
      <c r="N398">
        <v>7997</v>
      </c>
      <c r="O398">
        <v>0.1</v>
      </c>
      <c r="P398">
        <v>39985</v>
      </c>
      <c r="Q398">
        <v>31695</v>
      </c>
      <c r="R398">
        <v>5</v>
      </c>
    </row>
    <row r="399" spans="1:18" x14ac:dyDescent="0.25">
      <c r="A399" t="s">
        <v>364</v>
      </c>
      <c r="B399" t="s">
        <v>957</v>
      </c>
      <c r="C399" t="s">
        <v>216</v>
      </c>
      <c r="D399" t="s">
        <v>217</v>
      </c>
      <c r="E399" t="s">
        <v>33</v>
      </c>
      <c r="F399" t="s">
        <v>98</v>
      </c>
      <c r="G399" t="s">
        <v>958</v>
      </c>
      <c r="H399" t="s">
        <v>25</v>
      </c>
      <c r="I399" t="s">
        <v>45</v>
      </c>
      <c r="J399" t="s">
        <v>103</v>
      </c>
      <c r="K399" t="s">
        <v>36</v>
      </c>
      <c r="L399">
        <v>4</v>
      </c>
      <c r="M399">
        <v>7364</v>
      </c>
      <c r="N399">
        <v>14191</v>
      </c>
      <c r="O399">
        <v>0.02</v>
      </c>
      <c r="P399">
        <v>56764</v>
      </c>
      <c r="Q399">
        <v>27308</v>
      </c>
      <c r="R399">
        <v>2</v>
      </c>
    </row>
    <row r="400" spans="1:18" x14ac:dyDescent="0.25">
      <c r="A400" t="s">
        <v>115</v>
      </c>
      <c r="B400" t="s">
        <v>959</v>
      </c>
      <c r="C400" t="s">
        <v>31</v>
      </c>
      <c r="D400" t="s">
        <v>32</v>
      </c>
      <c r="E400" t="s">
        <v>33</v>
      </c>
      <c r="F400" t="s">
        <v>42</v>
      </c>
      <c r="G400" t="s">
        <v>473</v>
      </c>
      <c r="H400" t="s">
        <v>25</v>
      </c>
      <c r="I400" t="s">
        <v>45</v>
      </c>
      <c r="J400" t="s">
        <v>120</v>
      </c>
      <c r="K400" t="s">
        <v>28</v>
      </c>
      <c r="L400">
        <v>4</v>
      </c>
      <c r="M400">
        <v>7418</v>
      </c>
      <c r="N400">
        <v>11678</v>
      </c>
      <c r="O400">
        <v>0.05</v>
      </c>
      <c r="P400">
        <v>46712</v>
      </c>
      <c r="Q400">
        <v>17040</v>
      </c>
      <c r="R400">
        <v>1</v>
      </c>
    </row>
    <row r="401" spans="1:18" x14ac:dyDescent="0.25">
      <c r="A401" t="s">
        <v>960</v>
      </c>
      <c r="B401" t="s">
        <v>961</v>
      </c>
      <c r="C401" t="s">
        <v>82</v>
      </c>
      <c r="D401" t="s">
        <v>83</v>
      </c>
      <c r="E401" t="s">
        <v>51</v>
      </c>
      <c r="F401" t="s">
        <v>73</v>
      </c>
      <c r="G401" t="s">
        <v>962</v>
      </c>
      <c r="H401" t="s">
        <v>44</v>
      </c>
      <c r="I401" t="s">
        <v>35</v>
      </c>
      <c r="J401" t="s">
        <v>46</v>
      </c>
      <c r="K401" t="s">
        <v>36</v>
      </c>
      <c r="L401">
        <v>1</v>
      </c>
      <c r="M401">
        <v>13645</v>
      </c>
      <c r="N401">
        <v>19752</v>
      </c>
      <c r="O401">
        <v>0</v>
      </c>
      <c r="P401">
        <v>19752</v>
      </c>
      <c r="Q401">
        <v>6107</v>
      </c>
      <c r="R401">
        <v>3</v>
      </c>
    </row>
    <row r="402" spans="1:18" x14ac:dyDescent="0.25">
      <c r="A402" t="s">
        <v>312</v>
      </c>
      <c r="B402" t="s">
        <v>963</v>
      </c>
      <c r="C402" t="s">
        <v>96</v>
      </c>
      <c r="D402" t="s">
        <v>97</v>
      </c>
      <c r="E402" t="s">
        <v>51</v>
      </c>
      <c r="F402" t="s">
        <v>42</v>
      </c>
      <c r="G402" t="s">
        <v>964</v>
      </c>
      <c r="H402" t="s">
        <v>25</v>
      </c>
      <c r="I402" t="s">
        <v>35</v>
      </c>
      <c r="J402" t="s">
        <v>27</v>
      </c>
      <c r="K402" t="s">
        <v>28</v>
      </c>
      <c r="L402">
        <v>4</v>
      </c>
      <c r="M402">
        <v>10216</v>
      </c>
      <c r="N402">
        <v>15426</v>
      </c>
      <c r="O402">
        <v>0.1</v>
      </c>
      <c r="P402">
        <v>61704</v>
      </c>
      <c r="Q402">
        <v>20840</v>
      </c>
      <c r="R402">
        <v>2</v>
      </c>
    </row>
    <row r="403" spans="1:18" x14ac:dyDescent="0.25">
      <c r="A403" t="s">
        <v>378</v>
      </c>
      <c r="B403" t="s">
        <v>965</v>
      </c>
      <c r="C403" t="s">
        <v>149</v>
      </c>
      <c r="D403" t="s">
        <v>150</v>
      </c>
      <c r="E403" t="s">
        <v>51</v>
      </c>
      <c r="F403" t="s">
        <v>23</v>
      </c>
      <c r="G403" t="s">
        <v>966</v>
      </c>
      <c r="H403" t="s">
        <v>25</v>
      </c>
      <c r="I403" t="s">
        <v>26</v>
      </c>
      <c r="J403" t="s">
        <v>120</v>
      </c>
      <c r="K403" t="s">
        <v>54</v>
      </c>
      <c r="L403">
        <v>4</v>
      </c>
      <c r="M403">
        <v>7707</v>
      </c>
      <c r="N403">
        <v>11872</v>
      </c>
      <c r="O403">
        <v>0</v>
      </c>
      <c r="P403">
        <v>47488</v>
      </c>
      <c r="Q403">
        <v>16660</v>
      </c>
      <c r="R403">
        <v>4</v>
      </c>
    </row>
    <row r="404" spans="1:18" x14ac:dyDescent="0.25">
      <c r="A404" t="s">
        <v>352</v>
      </c>
      <c r="B404" t="s">
        <v>833</v>
      </c>
      <c r="C404" t="s">
        <v>71</v>
      </c>
      <c r="D404" t="s">
        <v>72</v>
      </c>
      <c r="E404" t="s">
        <v>64</v>
      </c>
      <c r="G404" t="s">
        <v>967</v>
      </c>
      <c r="H404" t="s">
        <v>44</v>
      </c>
      <c r="I404" t="s">
        <v>45</v>
      </c>
      <c r="J404" t="s">
        <v>53</v>
      </c>
      <c r="K404" t="s">
        <v>54</v>
      </c>
      <c r="L404">
        <v>5</v>
      </c>
      <c r="M404">
        <v>4780</v>
      </c>
      <c r="N404">
        <v>7645</v>
      </c>
      <c r="O404">
        <v>0.02</v>
      </c>
      <c r="P404">
        <v>38225</v>
      </c>
      <c r="Q404">
        <v>14325</v>
      </c>
      <c r="R404">
        <v>5</v>
      </c>
    </row>
    <row r="405" spans="1:18" x14ac:dyDescent="0.25">
      <c r="A405" t="s">
        <v>477</v>
      </c>
      <c r="B405" t="s">
        <v>968</v>
      </c>
      <c r="C405" t="s">
        <v>96</v>
      </c>
      <c r="D405" t="s">
        <v>97</v>
      </c>
      <c r="E405" t="s">
        <v>51</v>
      </c>
      <c r="F405" t="s">
        <v>73</v>
      </c>
      <c r="G405" t="s">
        <v>969</v>
      </c>
      <c r="H405" t="s">
        <v>44</v>
      </c>
      <c r="I405" t="s">
        <v>35</v>
      </c>
      <c r="J405" t="s">
        <v>58</v>
      </c>
      <c r="K405" t="s">
        <v>59</v>
      </c>
      <c r="L405">
        <v>3</v>
      </c>
      <c r="M405">
        <v>12637</v>
      </c>
      <c r="N405">
        <v>19347</v>
      </c>
      <c r="O405">
        <v>0</v>
      </c>
      <c r="P405">
        <v>58041</v>
      </c>
      <c r="Q405">
        <v>20130</v>
      </c>
      <c r="R405">
        <v>2</v>
      </c>
    </row>
    <row r="406" spans="1:18" x14ac:dyDescent="0.25">
      <c r="A406" t="s">
        <v>752</v>
      </c>
      <c r="B406" t="s">
        <v>970</v>
      </c>
      <c r="C406" t="s">
        <v>131</v>
      </c>
      <c r="D406" t="s">
        <v>132</v>
      </c>
      <c r="E406" t="s">
        <v>64</v>
      </c>
      <c r="G406" t="s">
        <v>971</v>
      </c>
      <c r="H406" t="s">
        <v>44</v>
      </c>
      <c r="I406" t="s">
        <v>35</v>
      </c>
      <c r="J406" t="s">
        <v>120</v>
      </c>
      <c r="K406" t="s">
        <v>36</v>
      </c>
      <c r="L406">
        <v>7</v>
      </c>
      <c r="M406">
        <v>14016</v>
      </c>
      <c r="N406">
        <v>19284</v>
      </c>
      <c r="O406">
        <v>0.02</v>
      </c>
      <c r="P406">
        <v>134988</v>
      </c>
      <c r="Q406">
        <v>36876</v>
      </c>
      <c r="R406">
        <v>5</v>
      </c>
    </row>
    <row r="407" spans="1:18" x14ac:dyDescent="0.25">
      <c r="A407" t="s">
        <v>483</v>
      </c>
      <c r="B407" t="s">
        <v>560</v>
      </c>
      <c r="C407" t="s">
        <v>71</v>
      </c>
      <c r="D407" t="s">
        <v>72</v>
      </c>
      <c r="E407" t="s">
        <v>64</v>
      </c>
      <c r="G407" t="s">
        <v>972</v>
      </c>
      <c r="H407" t="s">
        <v>44</v>
      </c>
      <c r="I407" t="s">
        <v>26</v>
      </c>
      <c r="J407" t="s">
        <v>27</v>
      </c>
      <c r="K407" t="s">
        <v>36</v>
      </c>
      <c r="L407">
        <v>2</v>
      </c>
      <c r="M407">
        <v>14713</v>
      </c>
      <c r="N407">
        <v>17070</v>
      </c>
      <c r="O407">
        <v>0.02</v>
      </c>
      <c r="P407">
        <v>34140</v>
      </c>
      <c r="Q407">
        <v>4714</v>
      </c>
      <c r="R407">
        <v>2</v>
      </c>
    </row>
    <row r="408" spans="1:18" x14ac:dyDescent="0.25">
      <c r="A408" t="s">
        <v>671</v>
      </c>
      <c r="B408" t="s">
        <v>973</v>
      </c>
      <c r="C408" t="s">
        <v>31</v>
      </c>
      <c r="D408" t="s">
        <v>32</v>
      </c>
      <c r="E408" t="s">
        <v>33</v>
      </c>
      <c r="G408" t="s">
        <v>770</v>
      </c>
      <c r="H408" t="s">
        <v>25</v>
      </c>
      <c r="I408" t="s">
        <v>45</v>
      </c>
      <c r="J408" t="s">
        <v>58</v>
      </c>
      <c r="K408" t="s">
        <v>28</v>
      </c>
      <c r="L408">
        <v>7</v>
      </c>
      <c r="M408">
        <v>3891</v>
      </c>
      <c r="N408">
        <v>7879</v>
      </c>
      <c r="O408">
        <v>0.02</v>
      </c>
      <c r="P408">
        <v>55153</v>
      </c>
      <c r="Q408">
        <v>27916</v>
      </c>
      <c r="R408">
        <v>3</v>
      </c>
    </row>
    <row r="409" spans="1:18" x14ac:dyDescent="0.25">
      <c r="A409" t="s">
        <v>728</v>
      </c>
      <c r="B409" t="s">
        <v>974</v>
      </c>
      <c r="C409" t="s">
        <v>31</v>
      </c>
      <c r="D409" t="s">
        <v>32</v>
      </c>
      <c r="E409" t="s">
        <v>33</v>
      </c>
      <c r="F409" t="s">
        <v>42</v>
      </c>
      <c r="G409" t="s">
        <v>975</v>
      </c>
      <c r="H409" t="s">
        <v>44</v>
      </c>
      <c r="I409" t="s">
        <v>45</v>
      </c>
      <c r="J409" t="s">
        <v>46</v>
      </c>
      <c r="K409" t="s">
        <v>54</v>
      </c>
      <c r="L409">
        <v>3</v>
      </c>
      <c r="M409">
        <v>12022</v>
      </c>
      <c r="N409">
        <v>19503</v>
      </c>
      <c r="O409">
        <v>0</v>
      </c>
      <c r="P409">
        <v>58509</v>
      </c>
      <c r="Q409">
        <v>22443</v>
      </c>
      <c r="R409">
        <v>4</v>
      </c>
    </row>
    <row r="410" spans="1:18" x14ac:dyDescent="0.25">
      <c r="A410" t="s">
        <v>66</v>
      </c>
      <c r="B410" t="s">
        <v>976</v>
      </c>
      <c r="C410" t="s">
        <v>82</v>
      </c>
      <c r="D410" t="s">
        <v>83</v>
      </c>
      <c r="E410" t="s">
        <v>51</v>
      </c>
      <c r="F410" t="s">
        <v>92</v>
      </c>
      <c r="G410" t="s">
        <v>267</v>
      </c>
      <c r="H410" t="s">
        <v>25</v>
      </c>
      <c r="I410" t="s">
        <v>45</v>
      </c>
      <c r="J410" t="s">
        <v>27</v>
      </c>
      <c r="K410" t="s">
        <v>36</v>
      </c>
      <c r="L410">
        <v>2</v>
      </c>
      <c r="M410">
        <v>10437</v>
      </c>
      <c r="N410">
        <v>16010</v>
      </c>
      <c r="O410">
        <v>0.04</v>
      </c>
      <c r="P410">
        <v>32020</v>
      </c>
      <c r="Q410">
        <v>11146</v>
      </c>
      <c r="R410">
        <v>2</v>
      </c>
    </row>
    <row r="411" spans="1:18" x14ac:dyDescent="0.25">
      <c r="A411" t="s">
        <v>247</v>
      </c>
      <c r="B411" t="s">
        <v>353</v>
      </c>
      <c r="C411" t="s">
        <v>39</v>
      </c>
      <c r="D411" t="s">
        <v>40</v>
      </c>
      <c r="E411" t="s">
        <v>41</v>
      </c>
      <c r="F411" t="s">
        <v>92</v>
      </c>
      <c r="G411" t="s">
        <v>977</v>
      </c>
      <c r="H411" t="s">
        <v>25</v>
      </c>
      <c r="I411" t="s">
        <v>26</v>
      </c>
      <c r="J411" t="s">
        <v>53</v>
      </c>
      <c r="K411" t="s">
        <v>28</v>
      </c>
      <c r="L411">
        <v>3</v>
      </c>
      <c r="M411">
        <v>10345</v>
      </c>
      <c r="N411">
        <v>17064</v>
      </c>
      <c r="O411">
        <v>0.1</v>
      </c>
      <c r="P411">
        <v>51192</v>
      </c>
      <c r="Q411">
        <v>20157</v>
      </c>
      <c r="R411">
        <v>2</v>
      </c>
    </row>
    <row r="412" spans="1:18" x14ac:dyDescent="0.25">
      <c r="A412" t="s">
        <v>978</v>
      </c>
      <c r="B412" t="s">
        <v>979</v>
      </c>
      <c r="C412" t="s">
        <v>71</v>
      </c>
      <c r="D412" t="s">
        <v>72</v>
      </c>
      <c r="E412" t="s">
        <v>64</v>
      </c>
      <c r="F412" t="s">
        <v>23</v>
      </c>
      <c r="G412" t="s">
        <v>745</v>
      </c>
      <c r="H412" t="s">
        <v>44</v>
      </c>
      <c r="I412" t="s">
        <v>26</v>
      </c>
      <c r="J412" t="s">
        <v>103</v>
      </c>
      <c r="K412" t="s">
        <v>36</v>
      </c>
      <c r="L412">
        <v>7</v>
      </c>
      <c r="M412">
        <v>14521</v>
      </c>
      <c r="N412">
        <v>17119</v>
      </c>
      <c r="O412">
        <v>0</v>
      </c>
      <c r="P412">
        <v>119833</v>
      </c>
      <c r="Q412">
        <v>18186</v>
      </c>
    </row>
    <row r="413" spans="1:18" x14ac:dyDescent="0.25">
      <c r="A413" t="s">
        <v>842</v>
      </c>
      <c r="B413" t="s">
        <v>179</v>
      </c>
      <c r="C413" t="s">
        <v>141</v>
      </c>
      <c r="D413" t="s">
        <v>142</v>
      </c>
      <c r="E413" t="s">
        <v>51</v>
      </c>
      <c r="G413" t="s">
        <v>980</v>
      </c>
      <c r="H413" t="s">
        <v>44</v>
      </c>
      <c r="I413" t="s">
        <v>45</v>
      </c>
      <c r="J413" t="s">
        <v>53</v>
      </c>
      <c r="K413" t="s">
        <v>36</v>
      </c>
      <c r="L413">
        <v>8</v>
      </c>
      <c r="M413">
        <v>1847</v>
      </c>
      <c r="N413">
        <v>9665</v>
      </c>
      <c r="O413">
        <v>0.04</v>
      </c>
      <c r="P413">
        <v>77320</v>
      </c>
      <c r="Q413">
        <v>62544</v>
      </c>
      <c r="R413">
        <v>3</v>
      </c>
    </row>
    <row r="414" spans="1:18" x14ac:dyDescent="0.25">
      <c r="A414" t="s">
        <v>320</v>
      </c>
      <c r="B414" t="s">
        <v>981</v>
      </c>
      <c r="C414" t="s">
        <v>131</v>
      </c>
      <c r="D414" t="s">
        <v>132</v>
      </c>
      <c r="E414" t="s">
        <v>64</v>
      </c>
      <c r="F414" t="s">
        <v>73</v>
      </c>
      <c r="G414" t="s">
        <v>982</v>
      </c>
      <c r="H414" t="s">
        <v>25</v>
      </c>
      <c r="I414" t="s">
        <v>26</v>
      </c>
      <c r="J414" t="s">
        <v>103</v>
      </c>
      <c r="K414" t="s">
        <v>36</v>
      </c>
      <c r="L414">
        <v>3</v>
      </c>
      <c r="M414">
        <v>12908</v>
      </c>
      <c r="N414">
        <v>19934</v>
      </c>
      <c r="O414">
        <v>0</v>
      </c>
      <c r="P414">
        <v>59802</v>
      </c>
      <c r="Q414">
        <v>21078</v>
      </c>
      <c r="R414">
        <v>2</v>
      </c>
    </row>
    <row r="415" spans="1:18" x14ac:dyDescent="0.25">
      <c r="A415" t="s">
        <v>678</v>
      </c>
      <c r="B415" t="s">
        <v>983</v>
      </c>
      <c r="C415" t="s">
        <v>149</v>
      </c>
      <c r="D415" t="s">
        <v>150</v>
      </c>
      <c r="E415" t="s">
        <v>51</v>
      </c>
      <c r="F415" t="s">
        <v>98</v>
      </c>
      <c r="G415" t="s">
        <v>169</v>
      </c>
      <c r="H415" t="s">
        <v>25</v>
      </c>
      <c r="I415" t="s">
        <v>45</v>
      </c>
      <c r="J415" t="s">
        <v>103</v>
      </c>
      <c r="K415" t="s">
        <v>54</v>
      </c>
      <c r="L415">
        <v>6</v>
      </c>
      <c r="M415">
        <v>9058</v>
      </c>
      <c r="N415">
        <v>14716</v>
      </c>
      <c r="O415">
        <v>0</v>
      </c>
      <c r="P415">
        <v>88296</v>
      </c>
      <c r="Q415">
        <v>33948</v>
      </c>
      <c r="R415">
        <v>2</v>
      </c>
    </row>
    <row r="416" spans="1:18" x14ac:dyDescent="0.25">
      <c r="A416" t="s">
        <v>646</v>
      </c>
      <c r="B416" t="s">
        <v>779</v>
      </c>
      <c r="C416" t="s">
        <v>141</v>
      </c>
      <c r="D416" t="s">
        <v>142</v>
      </c>
      <c r="E416" t="s">
        <v>51</v>
      </c>
      <c r="F416" t="s">
        <v>23</v>
      </c>
      <c r="G416" t="s">
        <v>402</v>
      </c>
      <c r="H416" t="s">
        <v>25</v>
      </c>
      <c r="I416" t="s">
        <v>45</v>
      </c>
      <c r="J416" t="s">
        <v>53</v>
      </c>
      <c r="K416" t="s">
        <v>28</v>
      </c>
      <c r="L416">
        <v>2</v>
      </c>
      <c r="M416">
        <v>14257</v>
      </c>
      <c r="N416">
        <v>17948</v>
      </c>
      <c r="O416">
        <v>0.04</v>
      </c>
      <c r="P416">
        <v>35896</v>
      </c>
      <c r="Q416">
        <v>7382</v>
      </c>
    </row>
    <row r="417" spans="1:18" x14ac:dyDescent="0.25">
      <c r="A417" t="s">
        <v>984</v>
      </c>
      <c r="B417" t="s">
        <v>365</v>
      </c>
      <c r="C417" t="s">
        <v>39</v>
      </c>
      <c r="D417" t="s">
        <v>40</v>
      </c>
      <c r="E417" t="s">
        <v>41</v>
      </c>
      <c r="F417" t="s">
        <v>23</v>
      </c>
      <c r="G417" t="s">
        <v>985</v>
      </c>
      <c r="H417" t="s">
        <v>25</v>
      </c>
      <c r="I417" t="s">
        <v>45</v>
      </c>
      <c r="J417" t="s">
        <v>53</v>
      </c>
      <c r="K417" t="s">
        <v>28</v>
      </c>
      <c r="L417">
        <v>6</v>
      </c>
      <c r="M417">
        <v>13051</v>
      </c>
      <c r="N417">
        <v>16858</v>
      </c>
      <c r="O417">
        <v>0.1</v>
      </c>
      <c r="P417">
        <v>101148</v>
      </c>
      <c r="Q417">
        <v>22842</v>
      </c>
      <c r="R417">
        <v>5</v>
      </c>
    </row>
    <row r="418" spans="1:18" x14ac:dyDescent="0.25">
      <c r="A418" t="s">
        <v>259</v>
      </c>
      <c r="B418" t="s">
        <v>986</v>
      </c>
      <c r="C418" t="s">
        <v>31</v>
      </c>
      <c r="D418" t="s">
        <v>32</v>
      </c>
      <c r="E418" t="s">
        <v>33</v>
      </c>
      <c r="F418" t="s">
        <v>23</v>
      </c>
      <c r="G418" t="s">
        <v>987</v>
      </c>
      <c r="H418" t="s">
        <v>44</v>
      </c>
      <c r="I418" t="s">
        <v>35</v>
      </c>
      <c r="J418" t="s">
        <v>46</v>
      </c>
      <c r="K418" t="s">
        <v>54</v>
      </c>
      <c r="L418">
        <v>7</v>
      </c>
      <c r="M418">
        <v>2302</v>
      </c>
      <c r="N418">
        <v>6014</v>
      </c>
      <c r="O418">
        <v>0.1</v>
      </c>
      <c r="P418">
        <v>42098</v>
      </c>
      <c r="Q418">
        <v>25984</v>
      </c>
      <c r="R418">
        <v>5</v>
      </c>
    </row>
    <row r="419" spans="1:18" x14ac:dyDescent="0.25">
      <c r="A419" t="s">
        <v>253</v>
      </c>
      <c r="B419" t="s">
        <v>988</v>
      </c>
      <c r="C419" t="s">
        <v>141</v>
      </c>
      <c r="D419" t="s">
        <v>142</v>
      </c>
      <c r="E419" t="s">
        <v>51</v>
      </c>
      <c r="F419" t="s">
        <v>98</v>
      </c>
      <c r="G419" t="s">
        <v>989</v>
      </c>
      <c r="H419" t="s">
        <v>44</v>
      </c>
      <c r="I419" t="s">
        <v>35</v>
      </c>
      <c r="J419" t="s">
        <v>53</v>
      </c>
      <c r="K419" t="s">
        <v>28</v>
      </c>
      <c r="L419">
        <v>3</v>
      </c>
      <c r="M419">
        <v>13646</v>
      </c>
      <c r="N419">
        <v>16458</v>
      </c>
      <c r="O419">
        <v>0.02</v>
      </c>
      <c r="P419">
        <v>49374</v>
      </c>
      <c r="Q419">
        <v>8436</v>
      </c>
      <c r="R419">
        <v>5</v>
      </c>
    </row>
    <row r="420" spans="1:18" x14ac:dyDescent="0.25">
      <c r="A420" t="s">
        <v>301</v>
      </c>
      <c r="B420" t="s">
        <v>990</v>
      </c>
      <c r="C420" t="s">
        <v>96</v>
      </c>
      <c r="D420" t="s">
        <v>97</v>
      </c>
      <c r="E420" t="s">
        <v>51</v>
      </c>
      <c r="F420" t="s">
        <v>73</v>
      </c>
      <c r="G420" t="s">
        <v>916</v>
      </c>
      <c r="H420" t="s">
        <v>25</v>
      </c>
      <c r="I420" t="s">
        <v>35</v>
      </c>
      <c r="J420" t="s">
        <v>103</v>
      </c>
      <c r="K420" t="s">
        <v>54</v>
      </c>
      <c r="L420">
        <v>6</v>
      </c>
      <c r="M420">
        <v>13961</v>
      </c>
      <c r="N420">
        <v>19228</v>
      </c>
      <c r="O420">
        <v>0</v>
      </c>
      <c r="P420">
        <v>115368</v>
      </c>
      <c r="Q420">
        <v>31602</v>
      </c>
      <c r="R420">
        <v>1</v>
      </c>
    </row>
    <row r="421" spans="1:18" x14ac:dyDescent="0.25">
      <c r="A421" t="s">
        <v>991</v>
      </c>
      <c r="B421" t="s">
        <v>992</v>
      </c>
      <c r="C421" t="s">
        <v>71</v>
      </c>
      <c r="D421" t="s">
        <v>72</v>
      </c>
      <c r="E421" t="s">
        <v>64</v>
      </c>
      <c r="G421" t="s">
        <v>829</v>
      </c>
      <c r="H421" t="s">
        <v>25</v>
      </c>
      <c r="I421" t="s">
        <v>26</v>
      </c>
      <c r="J421" t="s">
        <v>46</v>
      </c>
      <c r="K421" t="s">
        <v>36</v>
      </c>
      <c r="L421">
        <v>1</v>
      </c>
      <c r="M421">
        <v>9502</v>
      </c>
      <c r="N421">
        <v>17016</v>
      </c>
      <c r="O421">
        <v>0.05</v>
      </c>
      <c r="P421">
        <v>17016</v>
      </c>
      <c r="Q421">
        <v>7514</v>
      </c>
      <c r="R421">
        <v>2</v>
      </c>
    </row>
    <row r="422" spans="1:18" x14ac:dyDescent="0.25">
      <c r="A422" t="s">
        <v>993</v>
      </c>
      <c r="B422" t="s">
        <v>994</v>
      </c>
      <c r="C422" t="s">
        <v>71</v>
      </c>
      <c r="D422" t="s">
        <v>72</v>
      </c>
      <c r="E422" t="s">
        <v>64</v>
      </c>
      <c r="F422" t="s">
        <v>23</v>
      </c>
      <c r="G422" t="s">
        <v>687</v>
      </c>
      <c r="H422" t="s">
        <v>25</v>
      </c>
      <c r="I422" t="s">
        <v>26</v>
      </c>
      <c r="J422" t="s">
        <v>120</v>
      </c>
      <c r="K422" t="s">
        <v>36</v>
      </c>
      <c r="L422">
        <v>6</v>
      </c>
      <c r="M422">
        <v>14134</v>
      </c>
      <c r="N422">
        <v>15109</v>
      </c>
      <c r="O422">
        <v>0.05</v>
      </c>
      <c r="P422">
        <v>90654</v>
      </c>
      <c r="Q422">
        <v>5850</v>
      </c>
      <c r="R422">
        <v>4</v>
      </c>
    </row>
    <row r="423" spans="1:18" x14ac:dyDescent="0.25">
      <c r="A423" t="s">
        <v>203</v>
      </c>
      <c r="B423" t="s">
        <v>995</v>
      </c>
      <c r="C423" t="s">
        <v>87</v>
      </c>
      <c r="D423" t="s">
        <v>88</v>
      </c>
      <c r="E423" t="s">
        <v>33</v>
      </c>
      <c r="G423" t="s">
        <v>996</v>
      </c>
      <c r="H423" t="s">
        <v>44</v>
      </c>
      <c r="I423" t="s">
        <v>26</v>
      </c>
      <c r="J423" t="s">
        <v>120</v>
      </c>
      <c r="K423" t="s">
        <v>28</v>
      </c>
      <c r="L423">
        <v>7</v>
      </c>
      <c r="M423">
        <v>14997</v>
      </c>
      <c r="N423">
        <v>22423</v>
      </c>
      <c r="O423">
        <v>0</v>
      </c>
      <c r="P423">
        <v>156961</v>
      </c>
      <c r="Q423">
        <v>51982</v>
      </c>
    </row>
    <row r="424" spans="1:18" x14ac:dyDescent="0.25">
      <c r="A424" t="s">
        <v>531</v>
      </c>
      <c r="B424" t="s">
        <v>889</v>
      </c>
      <c r="C424" t="s">
        <v>117</v>
      </c>
      <c r="D424" t="s">
        <v>118</v>
      </c>
      <c r="E424" t="s">
        <v>41</v>
      </c>
      <c r="G424" t="s">
        <v>997</v>
      </c>
      <c r="H424" t="s">
        <v>25</v>
      </c>
      <c r="I424" t="s">
        <v>35</v>
      </c>
      <c r="J424" t="s">
        <v>53</v>
      </c>
      <c r="K424" t="s">
        <v>28</v>
      </c>
      <c r="L424">
        <v>7</v>
      </c>
      <c r="M424">
        <v>3911</v>
      </c>
      <c r="N424">
        <v>4951</v>
      </c>
      <c r="O424">
        <v>0</v>
      </c>
      <c r="P424">
        <v>34657</v>
      </c>
      <c r="Q424">
        <v>7280</v>
      </c>
      <c r="R424">
        <v>3</v>
      </c>
    </row>
    <row r="425" spans="1:18" x14ac:dyDescent="0.25">
      <c r="A425" t="s">
        <v>115</v>
      </c>
      <c r="B425" t="s">
        <v>998</v>
      </c>
      <c r="C425" t="s">
        <v>117</v>
      </c>
      <c r="D425" t="s">
        <v>118</v>
      </c>
      <c r="E425" t="s">
        <v>41</v>
      </c>
      <c r="F425" t="s">
        <v>42</v>
      </c>
      <c r="G425" t="s">
        <v>322</v>
      </c>
      <c r="H425" t="s">
        <v>44</v>
      </c>
      <c r="I425" t="s">
        <v>45</v>
      </c>
      <c r="J425" t="s">
        <v>53</v>
      </c>
      <c r="K425" t="s">
        <v>59</v>
      </c>
      <c r="L425">
        <v>2</v>
      </c>
      <c r="M425">
        <v>13482</v>
      </c>
      <c r="N425">
        <v>20899</v>
      </c>
      <c r="O425">
        <v>0.02</v>
      </c>
      <c r="P425">
        <v>41798</v>
      </c>
      <c r="Q425">
        <v>14834</v>
      </c>
      <c r="R425">
        <v>4</v>
      </c>
    </row>
    <row r="426" spans="1:18" x14ac:dyDescent="0.25">
      <c r="A426" t="s">
        <v>835</v>
      </c>
      <c r="B426" t="s">
        <v>999</v>
      </c>
      <c r="C426" t="s">
        <v>216</v>
      </c>
      <c r="D426" t="s">
        <v>217</v>
      </c>
      <c r="E426" t="s">
        <v>33</v>
      </c>
      <c r="F426" t="s">
        <v>42</v>
      </c>
      <c r="G426" t="s">
        <v>1000</v>
      </c>
      <c r="H426" t="s">
        <v>25</v>
      </c>
      <c r="I426" t="s">
        <v>26</v>
      </c>
      <c r="J426" t="s">
        <v>53</v>
      </c>
      <c r="K426" t="s">
        <v>36</v>
      </c>
      <c r="L426">
        <v>4</v>
      </c>
      <c r="M426">
        <v>11742</v>
      </c>
      <c r="N426">
        <v>17101</v>
      </c>
      <c r="O426">
        <v>0.04</v>
      </c>
      <c r="P426">
        <v>68404</v>
      </c>
      <c r="Q426">
        <v>21436</v>
      </c>
      <c r="R426">
        <v>1</v>
      </c>
    </row>
    <row r="427" spans="1:18" x14ac:dyDescent="0.25">
      <c r="A427" t="s">
        <v>195</v>
      </c>
      <c r="B427" t="s">
        <v>1001</v>
      </c>
      <c r="C427" t="s">
        <v>241</v>
      </c>
      <c r="D427" t="s">
        <v>242</v>
      </c>
      <c r="E427" t="s">
        <v>22</v>
      </c>
      <c r="F427" t="s">
        <v>42</v>
      </c>
      <c r="G427" t="s">
        <v>1002</v>
      </c>
      <c r="H427" t="s">
        <v>25</v>
      </c>
      <c r="I427" t="s">
        <v>45</v>
      </c>
      <c r="J427" t="s">
        <v>46</v>
      </c>
      <c r="K427" t="s">
        <v>36</v>
      </c>
      <c r="L427">
        <v>5</v>
      </c>
      <c r="M427">
        <v>11901</v>
      </c>
      <c r="N427">
        <v>18283</v>
      </c>
      <c r="O427">
        <v>0</v>
      </c>
      <c r="P427">
        <v>91415</v>
      </c>
      <c r="Q427">
        <v>31910</v>
      </c>
      <c r="R427">
        <v>5</v>
      </c>
    </row>
    <row r="428" spans="1:18" x14ac:dyDescent="0.25">
      <c r="A428" t="s">
        <v>1003</v>
      </c>
      <c r="B428" t="s">
        <v>1004</v>
      </c>
      <c r="C428" t="s">
        <v>141</v>
      </c>
      <c r="D428" t="s">
        <v>142</v>
      </c>
      <c r="E428" t="s">
        <v>51</v>
      </c>
      <c r="G428" t="s">
        <v>133</v>
      </c>
      <c r="H428" t="s">
        <v>25</v>
      </c>
      <c r="I428" t="s">
        <v>35</v>
      </c>
      <c r="J428" t="s">
        <v>120</v>
      </c>
      <c r="K428" t="s">
        <v>54</v>
      </c>
      <c r="L428">
        <v>8</v>
      </c>
      <c r="M428">
        <v>7532</v>
      </c>
      <c r="N428">
        <v>10154</v>
      </c>
      <c r="O428">
        <v>0.02</v>
      </c>
      <c r="P428">
        <v>81232</v>
      </c>
      <c r="Q428">
        <v>20976</v>
      </c>
      <c r="R428">
        <v>3</v>
      </c>
    </row>
    <row r="429" spans="1:18" x14ac:dyDescent="0.25">
      <c r="A429" t="s">
        <v>349</v>
      </c>
      <c r="B429" t="s">
        <v>773</v>
      </c>
      <c r="C429" t="s">
        <v>39</v>
      </c>
      <c r="D429" t="s">
        <v>40</v>
      </c>
      <c r="E429" t="s">
        <v>41</v>
      </c>
      <c r="G429" t="s">
        <v>151</v>
      </c>
      <c r="H429" t="s">
        <v>44</v>
      </c>
      <c r="I429" t="s">
        <v>26</v>
      </c>
      <c r="J429" t="s">
        <v>103</v>
      </c>
      <c r="K429" t="s">
        <v>54</v>
      </c>
      <c r="L429">
        <v>1</v>
      </c>
      <c r="M429">
        <v>14405</v>
      </c>
      <c r="N429">
        <v>21885</v>
      </c>
      <c r="O429">
        <v>0.1</v>
      </c>
      <c r="P429">
        <v>21885</v>
      </c>
      <c r="Q429">
        <v>7480</v>
      </c>
    </row>
    <row r="430" spans="1:18" x14ac:dyDescent="0.25">
      <c r="A430" t="s">
        <v>281</v>
      </c>
      <c r="B430" t="s">
        <v>1005</v>
      </c>
      <c r="C430" t="s">
        <v>87</v>
      </c>
      <c r="D430" t="s">
        <v>88</v>
      </c>
      <c r="E430" t="s">
        <v>33</v>
      </c>
      <c r="F430" t="s">
        <v>42</v>
      </c>
      <c r="G430" t="s">
        <v>730</v>
      </c>
      <c r="H430" t="s">
        <v>44</v>
      </c>
      <c r="I430" t="s">
        <v>35</v>
      </c>
      <c r="J430" t="s">
        <v>103</v>
      </c>
      <c r="K430" t="s">
        <v>54</v>
      </c>
      <c r="L430">
        <v>8</v>
      </c>
      <c r="M430">
        <v>8035</v>
      </c>
      <c r="N430">
        <v>9710</v>
      </c>
      <c r="O430">
        <v>0.02</v>
      </c>
      <c r="P430">
        <v>77680</v>
      </c>
      <c r="Q430">
        <v>13400</v>
      </c>
      <c r="R430">
        <v>4</v>
      </c>
    </row>
    <row r="431" spans="1:18" x14ac:dyDescent="0.25">
      <c r="A431" t="s">
        <v>765</v>
      </c>
      <c r="B431" t="s">
        <v>1006</v>
      </c>
      <c r="C431" t="s">
        <v>82</v>
      </c>
      <c r="D431" t="s">
        <v>83</v>
      </c>
      <c r="E431" t="s">
        <v>51</v>
      </c>
      <c r="F431" t="s">
        <v>98</v>
      </c>
      <c r="G431" t="s">
        <v>351</v>
      </c>
      <c r="H431" t="s">
        <v>44</v>
      </c>
      <c r="I431" t="s">
        <v>45</v>
      </c>
      <c r="J431" t="s">
        <v>103</v>
      </c>
      <c r="K431" t="s">
        <v>59</v>
      </c>
      <c r="L431">
        <v>7</v>
      </c>
      <c r="M431">
        <v>14104</v>
      </c>
      <c r="N431">
        <v>21840</v>
      </c>
      <c r="O431">
        <v>0.04</v>
      </c>
      <c r="P431">
        <v>152880</v>
      </c>
      <c r="Q431">
        <v>54152</v>
      </c>
      <c r="R431">
        <v>5</v>
      </c>
    </row>
    <row r="432" spans="1:18" x14ac:dyDescent="0.25">
      <c r="A432" t="s">
        <v>661</v>
      </c>
      <c r="B432" t="s">
        <v>455</v>
      </c>
      <c r="C432" t="s">
        <v>62</v>
      </c>
      <c r="D432" t="s">
        <v>63</v>
      </c>
      <c r="E432" t="s">
        <v>64</v>
      </c>
      <c r="F432" t="s">
        <v>42</v>
      </c>
      <c r="G432" t="s">
        <v>1007</v>
      </c>
      <c r="H432" t="s">
        <v>25</v>
      </c>
      <c r="I432" t="s">
        <v>35</v>
      </c>
      <c r="J432" t="s">
        <v>46</v>
      </c>
      <c r="K432" t="s">
        <v>28</v>
      </c>
      <c r="L432">
        <v>7</v>
      </c>
      <c r="M432">
        <v>14260</v>
      </c>
      <c r="N432">
        <v>18997</v>
      </c>
      <c r="O432">
        <v>0</v>
      </c>
      <c r="P432">
        <v>132979</v>
      </c>
      <c r="Q432">
        <v>33159</v>
      </c>
      <c r="R432">
        <v>3</v>
      </c>
    </row>
    <row r="433" spans="1:18" x14ac:dyDescent="0.25">
      <c r="A433" t="s">
        <v>682</v>
      </c>
      <c r="B433" t="s">
        <v>877</v>
      </c>
      <c r="C433" t="s">
        <v>278</v>
      </c>
      <c r="D433" t="s">
        <v>279</v>
      </c>
      <c r="E433" t="s">
        <v>64</v>
      </c>
      <c r="F433" t="s">
        <v>92</v>
      </c>
      <c r="G433" t="s">
        <v>354</v>
      </c>
      <c r="H433" t="s">
        <v>25</v>
      </c>
      <c r="I433" t="s">
        <v>45</v>
      </c>
      <c r="J433" t="s">
        <v>120</v>
      </c>
      <c r="K433" t="s">
        <v>59</v>
      </c>
      <c r="L433">
        <v>2</v>
      </c>
      <c r="M433">
        <v>8739</v>
      </c>
      <c r="N433">
        <v>10962</v>
      </c>
      <c r="O433">
        <v>0.04</v>
      </c>
      <c r="P433">
        <v>21924</v>
      </c>
      <c r="Q433">
        <v>4446</v>
      </c>
      <c r="R433">
        <v>3</v>
      </c>
    </row>
    <row r="434" spans="1:18" x14ac:dyDescent="0.25">
      <c r="A434" t="s">
        <v>651</v>
      </c>
      <c r="B434" t="s">
        <v>764</v>
      </c>
      <c r="C434" t="s">
        <v>20</v>
      </c>
      <c r="D434" t="s">
        <v>21</v>
      </c>
      <c r="E434" t="s">
        <v>22</v>
      </c>
      <c r="F434" t="s">
        <v>73</v>
      </c>
      <c r="G434" t="s">
        <v>1008</v>
      </c>
      <c r="H434" t="s">
        <v>25</v>
      </c>
      <c r="I434" t="s">
        <v>45</v>
      </c>
      <c r="J434" t="s">
        <v>75</v>
      </c>
      <c r="K434" t="s">
        <v>28</v>
      </c>
      <c r="L434">
        <v>2</v>
      </c>
      <c r="M434">
        <v>11829</v>
      </c>
      <c r="N434">
        <v>16986</v>
      </c>
      <c r="O434">
        <v>0.1</v>
      </c>
      <c r="P434">
        <v>33972</v>
      </c>
      <c r="Q434">
        <v>10314</v>
      </c>
    </row>
    <row r="435" spans="1:18" x14ac:dyDescent="0.25">
      <c r="A435" t="s">
        <v>333</v>
      </c>
      <c r="B435" t="s">
        <v>1009</v>
      </c>
      <c r="C435" t="s">
        <v>62</v>
      </c>
      <c r="D435" t="s">
        <v>63</v>
      </c>
      <c r="E435" t="s">
        <v>64</v>
      </c>
      <c r="F435" t="s">
        <v>98</v>
      </c>
      <c r="G435" t="s">
        <v>1010</v>
      </c>
      <c r="H435" t="s">
        <v>25</v>
      </c>
      <c r="I435" t="s">
        <v>45</v>
      </c>
      <c r="J435" t="s">
        <v>46</v>
      </c>
      <c r="K435" t="s">
        <v>54</v>
      </c>
      <c r="L435">
        <v>1</v>
      </c>
      <c r="M435">
        <v>5399</v>
      </c>
      <c r="N435">
        <v>12313</v>
      </c>
      <c r="O435">
        <v>0.05</v>
      </c>
      <c r="P435">
        <v>12313</v>
      </c>
      <c r="Q435">
        <v>6914</v>
      </c>
      <c r="R435">
        <v>4</v>
      </c>
    </row>
    <row r="436" spans="1:18" x14ac:dyDescent="0.25">
      <c r="A436" t="s">
        <v>214</v>
      </c>
      <c r="B436" t="s">
        <v>1011</v>
      </c>
      <c r="C436" t="s">
        <v>77</v>
      </c>
      <c r="D436" t="s">
        <v>78</v>
      </c>
      <c r="E436" t="s">
        <v>64</v>
      </c>
      <c r="F436" t="s">
        <v>73</v>
      </c>
      <c r="G436" t="s">
        <v>553</v>
      </c>
      <c r="H436" t="s">
        <v>25</v>
      </c>
      <c r="I436" t="s">
        <v>45</v>
      </c>
      <c r="J436" t="s">
        <v>120</v>
      </c>
      <c r="K436" t="s">
        <v>59</v>
      </c>
      <c r="L436">
        <v>1</v>
      </c>
      <c r="M436">
        <v>14077</v>
      </c>
      <c r="N436">
        <v>16510</v>
      </c>
      <c r="O436">
        <v>0.1</v>
      </c>
      <c r="P436">
        <v>16510</v>
      </c>
      <c r="Q436">
        <v>2433</v>
      </c>
      <c r="R436">
        <v>5</v>
      </c>
    </row>
    <row r="437" spans="1:18" x14ac:dyDescent="0.25">
      <c r="A437" t="s">
        <v>236</v>
      </c>
      <c r="B437" t="s">
        <v>1012</v>
      </c>
      <c r="C437" t="s">
        <v>241</v>
      </c>
      <c r="D437" t="s">
        <v>242</v>
      </c>
      <c r="E437" t="s">
        <v>22</v>
      </c>
      <c r="F437" t="s">
        <v>73</v>
      </c>
      <c r="G437" t="s">
        <v>300</v>
      </c>
      <c r="H437" t="s">
        <v>25</v>
      </c>
      <c r="I437" t="s">
        <v>26</v>
      </c>
      <c r="J437" t="s">
        <v>53</v>
      </c>
      <c r="K437" t="s">
        <v>28</v>
      </c>
      <c r="L437">
        <v>3</v>
      </c>
      <c r="M437">
        <v>2007</v>
      </c>
      <c r="N437">
        <v>4556</v>
      </c>
      <c r="O437">
        <v>0.05</v>
      </c>
      <c r="P437">
        <v>13668</v>
      </c>
      <c r="Q437">
        <v>7647</v>
      </c>
      <c r="R437">
        <v>5</v>
      </c>
    </row>
    <row r="438" spans="1:18" x14ac:dyDescent="0.25">
      <c r="A438" t="s">
        <v>657</v>
      </c>
      <c r="B438" t="s">
        <v>1013</v>
      </c>
      <c r="C438" t="s">
        <v>39</v>
      </c>
      <c r="D438" t="s">
        <v>40</v>
      </c>
      <c r="E438" t="s">
        <v>41</v>
      </c>
      <c r="F438" t="s">
        <v>23</v>
      </c>
      <c r="G438" t="s">
        <v>670</v>
      </c>
      <c r="H438" t="s">
        <v>44</v>
      </c>
      <c r="I438" t="s">
        <v>45</v>
      </c>
      <c r="J438" t="s">
        <v>53</v>
      </c>
      <c r="K438" t="s">
        <v>54</v>
      </c>
      <c r="L438">
        <v>7</v>
      </c>
      <c r="M438">
        <v>6631</v>
      </c>
      <c r="N438">
        <v>14554</v>
      </c>
      <c r="O438">
        <v>0</v>
      </c>
      <c r="P438">
        <v>101878</v>
      </c>
      <c r="Q438">
        <v>55461</v>
      </c>
      <c r="R438">
        <v>1</v>
      </c>
    </row>
    <row r="439" spans="1:18" x14ac:dyDescent="0.25">
      <c r="A439" t="s">
        <v>416</v>
      </c>
      <c r="B439" t="s">
        <v>1014</v>
      </c>
      <c r="C439" t="s">
        <v>131</v>
      </c>
      <c r="D439" t="s">
        <v>132</v>
      </c>
      <c r="E439" t="s">
        <v>64</v>
      </c>
      <c r="G439" t="s">
        <v>645</v>
      </c>
      <c r="H439" t="s">
        <v>25</v>
      </c>
      <c r="I439" t="s">
        <v>45</v>
      </c>
      <c r="J439" t="s">
        <v>53</v>
      </c>
      <c r="K439" t="s">
        <v>28</v>
      </c>
      <c r="L439">
        <v>3</v>
      </c>
      <c r="M439">
        <v>9761</v>
      </c>
      <c r="N439">
        <v>15864</v>
      </c>
      <c r="O439">
        <v>0.02</v>
      </c>
      <c r="P439">
        <v>47592</v>
      </c>
      <c r="Q439">
        <v>18309</v>
      </c>
      <c r="R439">
        <v>4</v>
      </c>
    </row>
    <row r="440" spans="1:18" x14ac:dyDescent="0.25">
      <c r="A440" t="s">
        <v>189</v>
      </c>
      <c r="B440" t="s">
        <v>1015</v>
      </c>
      <c r="C440" t="s">
        <v>87</v>
      </c>
      <c r="D440" t="s">
        <v>88</v>
      </c>
      <c r="E440" t="s">
        <v>33</v>
      </c>
      <c r="F440" t="s">
        <v>42</v>
      </c>
      <c r="G440" t="s">
        <v>1016</v>
      </c>
      <c r="H440" t="s">
        <v>25</v>
      </c>
      <c r="I440" t="s">
        <v>26</v>
      </c>
      <c r="J440" t="s">
        <v>120</v>
      </c>
      <c r="K440" t="s">
        <v>54</v>
      </c>
      <c r="L440">
        <v>3</v>
      </c>
      <c r="M440">
        <v>5567</v>
      </c>
      <c r="N440">
        <v>7222</v>
      </c>
      <c r="O440">
        <v>0</v>
      </c>
      <c r="P440">
        <v>21666</v>
      </c>
      <c r="Q440">
        <v>4965</v>
      </c>
      <c r="R440">
        <v>2</v>
      </c>
    </row>
    <row r="441" spans="1:18" x14ac:dyDescent="0.25">
      <c r="A441" t="s">
        <v>586</v>
      </c>
      <c r="B441" t="s">
        <v>990</v>
      </c>
      <c r="C441" t="s">
        <v>49</v>
      </c>
      <c r="D441" t="s">
        <v>50</v>
      </c>
      <c r="E441" t="s">
        <v>51</v>
      </c>
      <c r="F441" t="s">
        <v>42</v>
      </c>
      <c r="G441" t="s">
        <v>57</v>
      </c>
      <c r="H441" t="s">
        <v>44</v>
      </c>
      <c r="I441" t="s">
        <v>26</v>
      </c>
      <c r="J441" t="s">
        <v>46</v>
      </c>
      <c r="K441" t="s">
        <v>54</v>
      </c>
      <c r="L441">
        <v>2</v>
      </c>
      <c r="M441">
        <v>6585</v>
      </c>
      <c r="N441">
        <v>13998</v>
      </c>
      <c r="O441">
        <v>0.05</v>
      </c>
      <c r="P441">
        <v>27996</v>
      </c>
      <c r="Q441">
        <v>14826</v>
      </c>
      <c r="R441">
        <v>2</v>
      </c>
    </row>
    <row r="442" spans="1:18" x14ac:dyDescent="0.25">
      <c r="A442" t="s">
        <v>761</v>
      </c>
      <c r="B442" t="s">
        <v>1017</v>
      </c>
      <c r="C442" t="s">
        <v>106</v>
      </c>
      <c r="D442" t="s">
        <v>107</v>
      </c>
      <c r="E442" t="s">
        <v>41</v>
      </c>
      <c r="F442" t="s">
        <v>23</v>
      </c>
      <c r="G442" t="s">
        <v>817</v>
      </c>
      <c r="H442" t="s">
        <v>44</v>
      </c>
      <c r="I442" t="s">
        <v>26</v>
      </c>
      <c r="J442" t="s">
        <v>103</v>
      </c>
      <c r="K442" t="s">
        <v>59</v>
      </c>
      <c r="L442">
        <v>6</v>
      </c>
      <c r="M442">
        <v>2814</v>
      </c>
      <c r="N442">
        <v>5889</v>
      </c>
      <c r="O442">
        <v>0.1</v>
      </c>
      <c r="P442">
        <v>35334</v>
      </c>
      <c r="Q442">
        <v>18450</v>
      </c>
      <c r="R442">
        <v>1</v>
      </c>
    </row>
    <row r="443" spans="1:18" x14ac:dyDescent="0.25">
      <c r="A443" t="s">
        <v>993</v>
      </c>
      <c r="B443" t="s">
        <v>1018</v>
      </c>
      <c r="C443" t="s">
        <v>96</v>
      </c>
      <c r="D443" t="s">
        <v>97</v>
      </c>
      <c r="E443" t="s">
        <v>51</v>
      </c>
      <c r="G443" t="s">
        <v>74</v>
      </c>
      <c r="H443" t="s">
        <v>25</v>
      </c>
      <c r="I443" t="s">
        <v>26</v>
      </c>
      <c r="J443" t="s">
        <v>53</v>
      </c>
      <c r="K443" t="s">
        <v>28</v>
      </c>
      <c r="L443">
        <v>1</v>
      </c>
      <c r="M443">
        <v>12699</v>
      </c>
      <c r="N443">
        <v>15641</v>
      </c>
      <c r="O443">
        <v>0.1</v>
      </c>
      <c r="P443">
        <v>15641</v>
      </c>
      <c r="Q443">
        <v>2942</v>
      </c>
      <c r="R443">
        <v>2</v>
      </c>
    </row>
    <row r="444" spans="1:18" x14ac:dyDescent="0.25">
      <c r="A444" t="s">
        <v>447</v>
      </c>
      <c r="B444" t="s">
        <v>766</v>
      </c>
      <c r="C444" t="s">
        <v>82</v>
      </c>
      <c r="D444" t="s">
        <v>83</v>
      </c>
      <c r="E444" t="s">
        <v>51</v>
      </c>
      <c r="F444" t="s">
        <v>92</v>
      </c>
      <c r="G444" t="s">
        <v>470</v>
      </c>
      <c r="H444" t="s">
        <v>25</v>
      </c>
      <c r="I444" t="s">
        <v>26</v>
      </c>
      <c r="J444" t="s">
        <v>53</v>
      </c>
      <c r="K444" t="s">
        <v>54</v>
      </c>
      <c r="L444">
        <v>1</v>
      </c>
      <c r="M444">
        <v>3577</v>
      </c>
      <c r="N444">
        <v>7694</v>
      </c>
      <c r="O444">
        <v>0</v>
      </c>
      <c r="P444">
        <v>7694</v>
      </c>
      <c r="Q444">
        <v>4117</v>
      </c>
      <c r="R444">
        <v>3</v>
      </c>
    </row>
    <row r="445" spans="1:18" x14ac:dyDescent="0.25">
      <c r="A445" t="s">
        <v>1019</v>
      </c>
      <c r="B445" t="s">
        <v>1020</v>
      </c>
      <c r="C445" t="s">
        <v>87</v>
      </c>
      <c r="D445" t="s">
        <v>88</v>
      </c>
      <c r="E445" t="s">
        <v>33</v>
      </c>
      <c r="G445" t="s">
        <v>157</v>
      </c>
      <c r="H445" t="s">
        <v>25</v>
      </c>
      <c r="I445" t="s">
        <v>26</v>
      </c>
      <c r="J445" t="s">
        <v>53</v>
      </c>
      <c r="K445" t="s">
        <v>36</v>
      </c>
      <c r="L445">
        <v>8</v>
      </c>
      <c r="M445">
        <v>12881</v>
      </c>
      <c r="N445">
        <v>15801</v>
      </c>
      <c r="O445">
        <v>0.05</v>
      </c>
      <c r="P445">
        <v>126408</v>
      </c>
      <c r="Q445">
        <v>23360</v>
      </c>
      <c r="R445">
        <v>3</v>
      </c>
    </row>
    <row r="446" spans="1:18" x14ac:dyDescent="0.25">
      <c r="A446" t="s">
        <v>1021</v>
      </c>
      <c r="B446" t="s">
        <v>1022</v>
      </c>
      <c r="C446" t="s">
        <v>82</v>
      </c>
      <c r="D446" t="s">
        <v>83</v>
      </c>
      <c r="E446" t="s">
        <v>51</v>
      </c>
      <c r="F446" t="s">
        <v>42</v>
      </c>
      <c r="G446" t="s">
        <v>1023</v>
      </c>
      <c r="H446" t="s">
        <v>44</v>
      </c>
      <c r="I446" t="s">
        <v>35</v>
      </c>
      <c r="J446" t="s">
        <v>120</v>
      </c>
      <c r="K446" t="s">
        <v>59</v>
      </c>
      <c r="L446">
        <v>2</v>
      </c>
      <c r="M446">
        <v>14190</v>
      </c>
      <c r="N446">
        <v>21114</v>
      </c>
      <c r="O446">
        <v>0.1</v>
      </c>
      <c r="P446">
        <v>42228</v>
      </c>
      <c r="Q446">
        <v>13848</v>
      </c>
      <c r="R446">
        <v>2</v>
      </c>
    </row>
    <row r="447" spans="1:18" x14ac:dyDescent="0.25">
      <c r="A447" t="s">
        <v>991</v>
      </c>
      <c r="B447" t="s">
        <v>818</v>
      </c>
      <c r="C447" t="s">
        <v>39</v>
      </c>
      <c r="D447" t="s">
        <v>40</v>
      </c>
      <c r="E447" t="s">
        <v>41</v>
      </c>
      <c r="G447" t="s">
        <v>252</v>
      </c>
      <c r="H447" t="s">
        <v>25</v>
      </c>
      <c r="I447" t="s">
        <v>26</v>
      </c>
      <c r="J447" t="s">
        <v>58</v>
      </c>
      <c r="K447" t="s">
        <v>36</v>
      </c>
      <c r="L447">
        <v>3</v>
      </c>
      <c r="M447">
        <v>5834</v>
      </c>
      <c r="N447">
        <v>8801</v>
      </c>
      <c r="O447">
        <v>0.05</v>
      </c>
      <c r="P447">
        <v>26403</v>
      </c>
      <c r="Q447">
        <v>8901</v>
      </c>
      <c r="R447">
        <v>2</v>
      </c>
    </row>
    <row r="448" spans="1:18" x14ac:dyDescent="0.25">
      <c r="A448" t="s">
        <v>1024</v>
      </c>
      <c r="B448" t="s">
        <v>1025</v>
      </c>
      <c r="C448" t="s">
        <v>77</v>
      </c>
      <c r="D448" t="s">
        <v>78</v>
      </c>
      <c r="E448" t="s">
        <v>64</v>
      </c>
      <c r="G448" t="s">
        <v>1026</v>
      </c>
      <c r="H448" t="s">
        <v>25</v>
      </c>
      <c r="I448" t="s">
        <v>35</v>
      </c>
      <c r="J448" t="s">
        <v>27</v>
      </c>
      <c r="K448" t="s">
        <v>36</v>
      </c>
      <c r="L448">
        <v>6</v>
      </c>
      <c r="M448">
        <v>3082</v>
      </c>
      <c r="N448">
        <v>5198</v>
      </c>
      <c r="O448">
        <v>0.04</v>
      </c>
      <c r="P448">
        <v>31188</v>
      </c>
      <c r="Q448">
        <v>12696</v>
      </c>
      <c r="R448">
        <v>3</v>
      </c>
    </row>
    <row r="449" spans="1:18" x14ac:dyDescent="0.25">
      <c r="A449" t="s">
        <v>362</v>
      </c>
      <c r="B449" t="s">
        <v>1027</v>
      </c>
      <c r="C449" t="s">
        <v>87</v>
      </c>
      <c r="D449" t="s">
        <v>88</v>
      </c>
      <c r="E449" t="s">
        <v>33</v>
      </c>
      <c r="F449" t="s">
        <v>73</v>
      </c>
      <c r="G449" t="s">
        <v>794</v>
      </c>
      <c r="H449" t="s">
        <v>25</v>
      </c>
      <c r="I449" t="s">
        <v>26</v>
      </c>
      <c r="J449" t="s">
        <v>75</v>
      </c>
      <c r="K449" t="s">
        <v>59</v>
      </c>
      <c r="L449">
        <v>8</v>
      </c>
      <c r="M449">
        <v>2668</v>
      </c>
      <c r="N449">
        <v>9409</v>
      </c>
      <c r="O449">
        <v>0.1</v>
      </c>
      <c r="P449">
        <v>75272</v>
      </c>
      <c r="Q449">
        <v>53928</v>
      </c>
      <c r="R449">
        <v>5</v>
      </c>
    </row>
    <row r="450" spans="1:18" x14ac:dyDescent="0.25">
      <c r="A450" t="s">
        <v>195</v>
      </c>
      <c r="B450" t="s">
        <v>711</v>
      </c>
      <c r="C450" t="s">
        <v>71</v>
      </c>
      <c r="D450" t="s">
        <v>72</v>
      </c>
      <c r="E450" t="s">
        <v>64</v>
      </c>
      <c r="F450" t="s">
        <v>98</v>
      </c>
      <c r="G450" t="s">
        <v>1028</v>
      </c>
      <c r="H450" t="s">
        <v>25</v>
      </c>
      <c r="I450" t="s">
        <v>35</v>
      </c>
      <c r="J450" t="s">
        <v>58</v>
      </c>
      <c r="K450" t="s">
        <v>59</v>
      </c>
      <c r="L450">
        <v>1</v>
      </c>
      <c r="M450">
        <v>8662</v>
      </c>
      <c r="N450">
        <v>14696</v>
      </c>
      <c r="O450">
        <v>0.04</v>
      </c>
      <c r="P450">
        <v>14696</v>
      </c>
      <c r="Q450">
        <v>6034</v>
      </c>
      <c r="R450">
        <v>4</v>
      </c>
    </row>
    <row r="451" spans="1:18" x14ac:dyDescent="0.25">
      <c r="A451" t="s">
        <v>1029</v>
      </c>
      <c r="B451" t="s">
        <v>1030</v>
      </c>
      <c r="C451" t="s">
        <v>77</v>
      </c>
      <c r="D451" t="s">
        <v>78</v>
      </c>
      <c r="E451" t="s">
        <v>64</v>
      </c>
      <c r="F451" t="s">
        <v>42</v>
      </c>
      <c r="G451" t="s">
        <v>1031</v>
      </c>
      <c r="H451" t="s">
        <v>25</v>
      </c>
      <c r="I451" t="s">
        <v>45</v>
      </c>
      <c r="J451" t="s">
        <v>53</v>
      </c>
      <c r="K451" t="s">
        <v>36</v>
      </c>
      <c r="L451">
        <v>1</v>
      </c>
      <c r="M451">
        <v>6975</v>
      </c>
      <c r="N451">
        <v>8601</v>
      </c>
      <c r="O451">
        <v>0.02</v>
      </c>
      <c r="P451">
        <v>8601</v>
      </c>
      <c r="Q451">
        <v>1626</v>
      </c>
    </row>
    <row r="452" spans="1:18" x14ac:dyDescent="0.25">
      <c r="A452" t="s">
        <v>330</v>
      </c>
      <c r="B452" t="s">
        <v>1032</v>
      </c>
      <c r="C452" t="s">
        <v>87</v>
      </c>
      <c r="D452" t="s">
        <v>88</v>
      </c>
      <c r="E452" t="s">
        <v>33</v>
      </c>
      <c r="F452" t="s">
        <v>92</v>
      </c>
      <c r="G452" t="s">
        <v>1033</v>
      </c>
      <c r="H452" t="s">
        <v>25</v>
      </c>
      <c r="I452" t="s">
        <v>26</v>
      </c>
      <c r="J452" t="s">
        <v>46</v>
      </c>
      <c r="K452" t="s">
        <v>36</v>
      </c>
      <c r="L452">
        <v>1</v>
      </c>
      <c r="M452">
        <v>12813</v>
      </c>
      <c r="N452">
        <v>17070</v>
      </c>
      <c r="O452">
        <v>0</v>
      </c>
      <c r="P452">
        <v>17070</v>
      </c>
      <c r="Q452">
        <v>4257</v>
      </c>
      <c r="R452">
        <v>3</v>
      </c>
    </row>
    <row r="453" spans="1:18" x14ac:dyDescent="0.25">
      <c r="A453" t="s">
        <v>603</v>
      </c>
      <c r="B453" t="s">
        <v>1034</v>
      </c>
      <c r="C453" t="s">
        <v>241</v>
      </c>
      <c r="D453" t="s">
        <v>242</v>
      </c>
      <c r="E453" t="s">
        <v>22</v>
      </c>
      <c r="F453" t="s">
        <v>98</v>
      </c>
      <c r="G453" t="s">
        <v>748</v>
      </c>
      <c r="H453" t="s">
        <v>25</v>
      </c>
      <c r="I453" t="s">
        <v>35</v>
      </c>
      <c r="J453" t="s">
        <v>103</v>
      </c>
      <c r="K453" t="s">
        <v>59</v>
      </c>
      <c r="L453">
        <v>5</v>
      </c>
      <c r="M453">
        <v>1572</v>
      </c>
      <c r="N453">
        <v>7910</v>
      </c>
      <c r="O453">
        <v>0.02</v>
      </c>
      <c r="P453">
        <v>39550</v>
      </c>
      <c r="Q453">
        <v>31690</v>
      </c>
      <c r="R453">
        <v>5</v>
      </c>
    </row>
    <row r="454" spans="1:18" x14ac:dyDescent="0.25">
      <c r="A454" t="s">
        <v>317</v>
      </c>
      <c r="B454" t="s">
        <v>1035</v>
      </c>
      <c r="C454" t="s">
        <v>82</v>
      </c>
      <c r="D454" t="s">
        <v>83</v>
      </c>
      <c r="E454" t="s">
        <v>51</v>
      </c>
      <c r="G454" t="s">
        <v>595</v>
      </c>
      <c r="H454" t="s">
        <v>44</v>
      </c>
      <c r="I454" t="s">
        <v>45</v>
      </c>
      <c r="J454" t="s">
        <v>120</v>
      </c>
      <c r="K454" t="s">
        <v>28</v>
      </c>
      <c r="L454">
        <v>6</v>
      </c>
      <c r="M454">
        <v>1814</v>
      </c>
      <c r="N454">
        <v>4275</v>
      </c>
      <c r="O454">
        <v>0.04</v>
      </c>
      <c r="P454">
        <v>25650</v>
      </c>
      <c r="Q454">
        <v>14766</v>
      </c>
      <c r="R454">
        <v>2</v>
      </c>
    </row>
    <row r="455" spans="1:18" x14ac:dyDescent="0.25">
      <c r="A455" t="s">
        <v>755</v>
      </c>
      <c r="B455" t="s">
        <v>1036</v>
      </c>
      <c r="C455" t="s">
        <v>131</v>
      </c>
      <c r="D455" t="s">
        <v>132</v>
      </c>
      <c r="E455" t="s">
        <v>64</v>
      </c>
      <c r="F455" t="s">
        <v>23</v>
      </c>
      <c r="G455" t="s">
        <v>894</v>
      </c>
      <c r="H455" t="s">
        <v>25</v>
      </c>
      <c r="I455" t="s">
        <v>26</v>
      </c>
      <c r="J455" t="s">
        <v>103</v>
      </c>
      <c r="K455" t="s">
        <v>28</v>
      </c>
      <c r="L455">
        <v>3</v>
      </c>
      <c r="M455">
        <v>9668</v>
      </c>
      <c r="N455">
        <v>17505</v>
      </c>
      <c r="O455">
        <v>0.1</v>
      </c>
      <c r="P455">
        <v>52515</v>
      </c>
      <c r="Q455">
        <v>23511</v>
      </c>
      <c r="R455">
        <v>3</v>
      </c>
    </row>
    <row r="456" spans="1:18" x14ac:dyDescent="0.25">
      <c r="A456" t="s">
        <v>842</v>
      </c>
      <c r="B456" t="s">
        <v>1037</v>
      </c>
      <c r="C456" t="s">
        <v>117</v>
      </c>
      <c r="D456" t="s">
        <v>118</v>
      </c>
      <c r="E456" t="s">
        <v>41</v>
      </c>
      <c r="G456" t="s">
        <v>1038</v>
      </c>
      <c r="H456" t="s">
        <v>25</v>
      </c>
      <c r="I456" t="s">
        <v>35</v>
      </c>
      <c r="J456" t="s">
        <v>27</v>
      </c>
      <c r="K456" t="s">
        <v>36</v>
      </c>
      <c r="L456">
        <v>5</v>
      </c>
      <c r="M456">
        <v>2433</v>
      </c>
      <c r="N456">
        <v>9144</v>
      </c>
      <c r="O456">
        <v>0</v>
      </c>
      <c r="P456">
        <v>45720</v>
      </c>
      <c r="Q456">
        <v>33555</v>
      </c>
      <c r="R456">
        <v>5</v>
      </c>
    </row>
    <row r="457" spans="1:18" x14ac:dyDescent="0.25">
      <c r="A457" t="s">
        <v>427</v>
      </c>
      <c r="B457" t="s">
        <v>1039</v>
      </c>
      <c r="C457" t="s">
        <v>20</v>
      </c>
      <c r="D457" t="s">
        <v>21</v>
      </c>
      <c r="E457" t="s">
        <v>22</v>
      </c>
      <c r="F457" t="s">
        <v>73</v>
      </c>
      <c r="G457" t="s">
        <v>1040</v>
      </c>
      <c r="H457" t="s">
        <v>44</v>
      </c>
      <c r="I457" t="s">
        <v>45</v>
      </c>
      <c r="J457" t="s">
        <v>120</v>
      </c>
      <c r="K457" t="s">
        <v>54</v>
      </c>
      <c r="L457">
        <v>1</v>
      </c>
      <c r="M457">
        <v>12735</v>
      </c>
      <c r="N457">
        <v>15598</v>
      </c>
      <c r="O457">
        <v>0.02</v>
      </c>
      <c r="P457">
        <v>15598</v>
      </c>
      <c r="Q457">
        <v>2863</v>
      </c>
      <c r="R457">
        <v>5</v>
      </c>
    </row>
    <row r="458" spans="1:18" x14ac:dyDescent="0.25">
      <c r="A458" t="s">
        <v>886</v>
      </c>
      <c r="B458" t="s">
        <v>893</v>
      </c>
      <c r="C458" t="s">
        <v>77</v>
      </c>
      <c r="D458" t="s">
        <v>78</v>
      </c>
      <c r="E458" t="s">
        <v>64</v>
      </c>
      <c r="F458" t="s">
        <v>98</v>
      </c>
      <c r="G458" t="s">
        <v>550</v>
      </c>
      <c r="H458" t="s">
        <v>44</v>
      </c>
      <c r="I458" t="s">
        <v>35</v>
      </c>
      <c r="J458" t="s">
        <v>75</v>
      </c>
      <c r="K458" t="s">
        <v>54</v>
      </c>
      <c r="L458">
        <v>4</v>
      </c>
      <c r="M458">
        <v>11266</v>
      </c>
      <c r="N458">
        <v>14593</v>
      </c>
      <c r="O458">
        <v>0.04</v>
      </c>
      <c r="P458">
        <v>58372</v>
      </c>
      <c r="Q458">
        <v>13308</v>
      </c>
    </row>
    <row r="459" spans="1:18" x14ac:dyDescent="0.25">
      <c r="A459" t="s">
        <v>253</v>
      </c>
      <c r="B459" t="s">
        <v>1041</v>
      </c>
      <c r="C459" t="s">
        <v>82</v>
      </c>
      <c r="D459" t="s">
        <v>83</v>
      </c>
      <c r="E459" t="s">
        <v>51</v>
      </c>
      <c r="F459" t="s">
        <v>73</v>
      </c>
      <c r="G459" t="s">
        <v>614</v>
      </c>
      <c r="H459" t="s">
        <v>25</v>
      </c>
      <c r="I459" t="s">
        <v>26</v>
      </c>
      <c r="J459" t="s">
        <v>75</v>
      </c>
      <c r="K459" t="s">
        <v>36</v>
      </c>
      <c r="L459">
        <v>8</v>
      </c>
      <c r="M459">
        <v>11169</v>
      </c>
      <c r="N459">
        <v>17423</v>
      </c>
      <c r="O459">
        <v>0.1</v>
      </c>
      <c r="P459">
        <v>139384</v>
      </c>
      <c r="Q459">
        <v>50032</v>
      </c>
      <c r="R459">
        <v>3</v>
      </c>
    </row>
    <row r="460" spans="1:18" x14ac:dyDescent="0.25">
      <c r="A460" t="s">
        <v>123</v>
      </c>
      <c r="B460" t="s">
        <v>552</v>
      </c>
      <c r="C460" t="s">
        <v>117</v>
      </c>
      <c r="D460" t="s">
        <v>118</v>
      </c>
      <c r="E460" t="s">
        <v>41</v>
      </c>
      <c r="F460" t="s">
        <v>98</v>
      </c>
      <c r="G460" t="s">
        <v>1042</v>
      </c>
      <c r="H460" t="s">
        <v>25</v>
      </c>
      <c r="I460" t="s">
        <v>26</v>
      </c>
      <c r="J460" t="s">
        <v>75</v>
      </c>
      <c r="K460" t="s">
        <v>59</v>
      </c>
      <c r="L460">
        <v>8</v>
      </c>
      <c r="M460">
        <v>14204</v>
      </c>
      <c r="N460">
        <v>15509</v>
      </c>
      <c r="O460">
        <v>0.1</v>
      </c>
      <c r="P460">
        <v>124072</v>
      </c>
      <c r="Q460">
        <v>10440</v>
      </c>
      <c r="R460">
        <v>3</v>
      </c>
    </row>
    <row r="461" spans="1:18" x14ac:dyDescent="0.25">
      <c r="A461" t="s">
        <v>66</v>
      </c>
      <c r="B461" t="s">
        <v>846</v>
      </c>
      <c r="C461" t="s">
        <v>278</v>
      </c>
      <c r="D461" t="s">
        <v>279</v>
      </c>
      <c r="E461" t="s">
        <v>64</v>
      </c>
      <c r="F461" t="s">
        <v>42</v>
      </c>
      <c r="G461" t="s">
        <v>1043</v>
      </c>
      <c r="H461" t="s">
        <v>25</v>
      </c>
      <c r="I461" t="s">
        <v>35</v>
      </c>
      <c r="J461" t="s">
        <v>46</v>
      </c>
      <c r="K461" t="s">
        <v>54</v>
      </c>
      <c r="L461">
        <v>1</v>
      </c>
      <c r="M461">
        <v>7746</v>
      </c>
      <c r="N461">
        <v>9540</v>
      </c>
      <c r="O461">
        <v>0.1</v>
      </c>
      <c r="P461">
        <v>9540</v>
      </c>
      <c r="Q461">
        <v>1794</v>
      </c>
      <c r="R461">
        <v>1</v>
      </c>
    </row>
    <row r="462" spans="1:18" x14ac:dyDescent="0.25">
      <c r="A462" t="s">
        <v>317</v>
      </c>
      <c r="B462" t="s">
        <v>1044</v>
      </c>
      <c r="C462" t="s">
        <v>31</v>
      </c>
      <c r="D462" t="s">
        <v>32</v>
      </c>
      <c r="E462" t="s">
        <v>33</v>
      </c>
      <c r="F462" t="s">
        <v>92</v>
      </c>
      <c r="G462" t="s">
        <v>1045</v>
      </c>
      <c r="H462" t="s">
        <v>44</v>
      </c>
      <c r="I462" t="s">
        <v>35</v>
      </c>
      <c r="J462" t="s">
        <v>46</v>
      </c>
      <c r="K462" t="s">
        <v>36</v>
      </c>
      <c r="L462">
        <v>4</v>
      </c>
      <c r="M462">
        <v>3805</v>
      </c>
      <c r="N462">
        <v>8724</v>
      </c>
      <c r="O462">
        <v>0.04</v>
      </c>
      <c r="P462">
        <v>34896</v>
      </c>
      <c r="Q462">
        <v>19676</v>
      </c>
      <c r="R462">
        <v>5</v>
      </c>
    </row>
    <row r="463" spans="1:18" x14ac:dyDescent="0.25">
      <c r="A463" t="s">
        <v>1046</v>
      </c>
      <c r="B463" t="s">
        <v>1047</v>
      </c>
      <c r="C463" t="s">
        <v>62</v>
      </c>
      <c r="D463" t="s">
        <v>63</v>
      </c>
      <c r="E463" t="s">
        <v>64</v>
      </c>
      <c r="F463" t="s">
        <v>92</v>
      </c>
      <c r="G463" t="s">
        <v>659</v>
      </c>
      <c r="H463" t="s">
        <v>44</v>
      </c>
      <c r="I463" t="s">
        <v>26</v>
      </c>
      <c r="J463" t="s">
        <v>103</v>
      </c>
      <c r="K463" t="s">
        <v>54</v>
      </c>
      <c r="L463">
        <v>2</v>
      </c>
      <c r="M463">
        <v>1330</v>
      </c>
      <c r="N463">
        <v>2801</v>
      </c>
      <c r="O463">
        <v>0.04</v>
      </c>
      <c r="P463">
        <v>5602</v>
      </c>
      <c r="Q463">
        <v>2942</v>
      </c>
      <c r="R463">
        <v>3</v>
      </c>
    </row>
    <row r="464" spans="1:18" x14ac:dyDescent="0.25">
      <c r="A464" t="s">
        <v>586</v>
      </c>
      <c r="B464" t="s">
        <v>801</v>
      </c>
      <c r="C464" t="s">
        <v>39</v>
      </c>
      <c r="D464" t="s">
        <v>40</v>
      </c>
      <c r="E464" t="s">
        <v>41</v>
      </c>
      <c r="F464" t="s">
        <v>98</v>
      </c>
      <c r="G464" t="s">
        <v>57</v>
      </c>
      <c r="H464" t="s">
        <v>25</v>
      </c>
      <c r="I464" t="s">
        <v>26</v>
      </c>
      <c r="J464" t="s">
        <v>58</v>
      </c>
      <c r="K464" t="s">
        <v>28</v>
      </c>
      <c r="L464">
        <v>6</v>
      </c>
      <c r="M464">
        <v>12582</v>
      </c>
      <c r="N464">
        <v>13751</v>
      </c>
      <c r="O464">
        <v>0.04</v>
      </c>
      <c r="P464">
        <v>82506</v>
      </c>
      <c r="Q464">
        <v>7014</v>
      </c>
      <c r="R464">
        <v>4</v>
      </c>
    </row>
    <row r="465" spans="1:18" x14ac:dyDescent="0.25">
      <c r="A465" t="s">
        <v>301</v>
      </c>
      <c r="B465" t="s">
        <v>1048</v>
      </c>
      <c r="C465" t="s">
        <v>20</v>
      </c>
      <c r="D465" t="s">
        <v>21</v>
      </c>
      <c r="E465" t="s">
        <v>22</v>
      </c>
      <c r="F465" t="s">
        <v>98</v>
      </c>
      <c r="G465" t="s">
        <v>1049</v>
      </c>
      <c r="H465" t="s">
        <v>25</v>
      </c>
      <c r="I465" t="s">
        <v>45</v>
      </c>
      <c r="J465" t="s">
        <v>120</v>
      </c>
      <c r="K465" t="s">
        <v>54</v>
      </c>
      <c r="L465">
        <v>7</v>
      </c>
      <c r="M465">
        <v>6871</v>
      </c>
      <c r="N465">
        <v>11988</v>
      </c>
      <c r="O465">
        <v>0.02</v>
      </c>
      <c r="P465">
        <v>83916</v>
      </c>
      <c r="Q465">
        <v>35819</v>
      </c>
      <c r="R465">
        <v>2</v>
      </c>
    </row>
    <row r="466" spans="1:18" x14ac:dyDescent="0.25">
      <c r="A466" t="s">
        <v>1050</v>
      </c>
      <c r="B466" t="s">
        <v>1051</v>
      </c>
      <c r="C466" t="s">
        <v>71</v>
      </c>
      <c r="D466" t="s">
        <v>72</v>
      </c>
      <c r="E466" t="s">
        <v>64</v>
      </c>
      <c r="F466" t="s">
        <v>42</v>
      </c>
      <c r="G466" t="s">
        <v>443</v>
      </c>
      <c r="H466" t="s">
        <v>25</v>
      </c>
      <c r="I466" t="s">
        <v>35</v>
      </c>
      <c r="J466" t="s">
        <v>103</v>
      </c>
      <c r="K466" t="s">
        <v>36</v>
      </c>
      <c r="L466">
        <v>8</v>
      </c>
      <c r="M466">
        <v>4021</v>
      </c>
      <c r="N466">
        <v>8771</v>
      </c>
      <c r="O466">
        <v>0.05</v>
      </c>
      <c r="P466">
        <v>70168</v>
      </c>
      <c r="Q466">
        <v>38000</v>
      </c>
      <c r="R466">
        <v>3</v>
      </c>
    </row>
    <row r="467" spans="1:18" x14ac:dyDescent="0.25">
      <c r="A467" t="s">
        <v>768</v>
      </c>
      <c r="B467" t="s">
        <v>902</v>
      </c>
      <c r="C467" t="s">
        <v>216</v>
      </c>
      <c r="D467" t="s">
        <v>217</v>
      </c>
      <c r="E467" t="s">
        <v>33</v>
      </c>
      <c r="F467" t="s">
        <v>73</v>
      </c>
      <c r="G467" t="s">
        <v>1052</v>
      </c>
      <c r="H467" t="s">
        <v>25</v>
      </c>
      <c r="I467" t="s">
        <v>45</v>
      </c>
      <c r="J467" t="s">
        <v>75</v>
      </c>
      <c r="K467" t="s">
        <v>36</v>
      </c>
      <c r="L467">
        <v>8</v>
      </c>
      <c r="M467">
        <v>6865</v>
      </c>
      <c r="N467">
        <v>8337</v>
      </c>
      <c r="O467">
        <v>0.02</v>
      </c>
      <c r="P467">
        <v>66696</v>
      </c>
      <c r="Q467">
        <v>11776</v>
      </c>
      <c r="R467">
        <v>5</v>
      </c>
    </row>
    <row r="468" spans="1:18" x14ac:dyDescent="0.25">
      <c r="A468" t="s">
        <v>991</v>
      </c>
      <c r="B468" t="s">
        <v>1053</v>
      </c>
      <c r="C468" t="s">
        <v>31</v>
      </c>
      <c r="D468" t="s">
        <v>32</v>
      </c>
      <c r="E468" t="s">
        <v>33</v>
      </c>
      <c r="F468" t="s">
        <v>92</v>
      </c>
      <c r="G468" t="s">
        <v>1054</v>
      </c>
      <c r="H468" t="s">
        <v>25</v>
      </c>
      <c r="I468" t="s">
        <v>26</v>
      </c>
      <c r="J468" t="s">
        <v>58</v>
      </c>
      <c r="K468" t="s">
        <v>54</v>
      </c>
      <c r="L468">
        <v>4</v>
      </c>
      <c r="M468">
        <v>1242</v>
      </c>
      <c r="N468">
        <v>8566</v>
      </c>
      <c r="O468">
        <v>0.04</v>
      </c>
      <c r="P468">
        <v>34264</v>
      </c>
      <c r="Q468">
        <v>29296</v>
      </c>
      <c r="R468">
        <v>2</v>
      </c>
    </row>
    <row r="469" spans="1:18" x14ac:dyDescent="0.25">
      <c r="A469" t="s">
        <v>1055</v>
      </c>
      <c r="B469" t="s">
        <v>1056</v>
      </c>
      <c r="C469" t="s">
        <v>71</v>
      </c>
      <c r="D469" t="s">
        <v>72</v>
      </c>
      <c r="E469" t="s">
        <v>64</v>
      </c>
      <c r="F469" t="s">
        <v>73</v>
      </c>
      <c r="G469" t="s">
        <v>1057</v>
      </c>
      <c r="H469" t="s">
        <v>25</v>
      </c>
      <c r="I469" t="s">
        <v>35</v>
      </c>
      <c r="J469" t="s">
        <v>46</v>
      </c>
      <c r="K469" t="s">
        <v>28</v>
      </c>
      <c r="L469">
        <v>5</v>
      </c>
      <c r="M469">
        <v>10047</v>
      </c>
      <c r="N469">
        <v>16401</v>
      </c>
      <c r="O469">
        <v>0</v>
      </c>
      <c r="P469">
        <v>82005</v>
      </c>
      <c r="Q469">
        <v>31770</v>
      </c>
      <c r="R469">
        <v>4</v>
      </c>
    </row>
    <row r="470" spans="1:18" x14ac:dyDescent="0.25">
      <c r="A470" t="s">
        <v>158</v>
      </c>
      <c r="B470" t="s">
        <v>1058</v>
      </c>
      <c r="C470" t="s">
        <v>96</v>
      </c>
      <c r="D470" t="s">
        <v>97</v>
      </c>
      <c r="E470" t="s">
        <v>51</v>
      </c>
      <c r="F470" t="s">
        <v>23</v>
      </c>
      <c r="G470" t="s">
        <v>1059</v>
      </c>
      <c r="H470" t="s">
        <v>44</v>
      </c>
      <c r="I470" t="s">
        <v>45</v>
      </c>
      <c r="J470" t="s">
        <v>120</v>
      </c>
      <c r="K470" t="s">
        <v>28</v>
      </c>
      <c r="L470">
        <v>1</v>
      </c>
      <c r="M470">
        <v>6073</v>
      </c>
      <c r="N470">
        <v>8434</v>
      </c>
      <c r="O470">
        <v>0.02</v>
      </c>
      <c r="P470">
        <v>8434</v>
      </c>
      <c r="Q470">
        <v>2361</v>
      </c>
      <c r="R470">
        <v>5</v>
      </c>
    </row>
    <row r="471" spans="1:18" x14ac:dyDescent="0.25">
      <c r="A471" t="s">
        <v>720</v>
      </c>
      <c r="B471" t="s">
        <v>1060</v>
      </c>
      <c r="C471" t="s">
        <v>149</v>
      </c>
      <c r="D471" t="s">
        <v>150</v>
      </c>
      <c r="E471" t="s">
        <v>51</v>
      </c>
      <c r="F471" t="s">
        <v>92</v>
      </c>
      <c r="G471" t="s">
        <v>1061</v>
      </c>
      <c r="H471" t="s">
        <v>25</v>
      </c>
      <c r="I471" t="s">
        <v>35</v>
      </c>
      <c r="J471" t="s">
        <v>103</v>
      </c>
      <c r="K471" t="s">
        <v>54</v>
      </c>
      <c r="L471">
        <v>5</v>
      </c>
      <c r="M471">
        <v>2393</v>
      </c>
      <c r="N471">
        <v>6029</v>
      </c>
      <c r="O471">
        <v>0.1</v>
      </c>
      <c r="P471">
        <v>30145</v>
      </c>
      <c r="Q471">
        <v>18180</v>
      </c>
      <c r="R471">
        <v>4</v>
      </c>
    </row>
    <row r="472" spans="1:18" x14ac:dyDescent="0.25">
      <c r="A472" t="s">
        <v>336</v>
      </c>
      <c r="B472" t="s">
        <v>1062</v>
      </c>
      <c r="C472" t="s">
        <v>106</v>
      </c>
      <c r="D472" t="s">
        <v>107</v>
      </c>
      <c r="E472" t="s">
        <v>41</v>
      </c>
      <c r="F472" t="s">
        <v>23</v>
      </c>
      <c r="G472" t="s">
        <v>1063</v>
      </c>
      <c r="H472" t="s">
        <v>25</v>
      </c>
      <c r="I472" t="s">
        <v>35</v>
      </c>
      <c r="J472" t="s">
        <v>103</v>
      </c>
      <c r="K472" t="s">
        <v>28</v>
      </c>
      <c r="L472">
        <v>2</v>
      </c>
      <c r="M472">
        <v>13664</v>
      </c>
      <c r="N472">
        <v>16763</v>
      </c>
      <c r="O472">
        <v>0.02</v>
      </c>
      <c r="P472">
        <v>33526</v>
      </c>
      <c r="Q472">
        <v>6198</v>
      </c>
    </row>
    <row r="473" spans="1:18" x14ac:dyDescent="0.25">
      <c r="A473" t="s">
        <v>416</v>
      </c>
      <c r="B473" t="s">
        <v>1064</v>
      </c>
      <c r="C473" t="s">
        <v>49</v>
      </c>
      <c r="D473" t="s">
        <v>50</v>
      </c>
      <c r="E473" t="s">
        <v>51</v>
      </c>
      <c r="G473" t="s">
        <v>546</v>
      </c>
      <c r="H473" t="s">
        <v>44</v>
      </c>
      <c r="I473" t="s">
        <v>45</v>
      </c>
      <c r="J473" t="s">
        <v>46</v>
      </c>
      <c r="K473" t="s">
        <v>59</v>
      </c>
      <c r="L473">
        <v>4</v>
      </c>
      <c r="M473">
        <v>14009</v>
      </c>
      <c r="N473">
        <v>15010</v>
      </c>
      <c r="O473">
        <v>0.02</v>
      </c>
      <c r="P473">
        <v>60040</v>
      </c>
      <c r="Q473">
        <v>4004</v>
      </c>
      <c r="R473">
        <v>3</v>
      </c>
    </row>
    <row r="474" spans="1:18" x14ac:dyDescent="0.25">
      <c r="A474" t="s">
        <v>1065</v>
      </c>
      <c r="B474" t="s">
        <v>1066</v>
      </c>
      <c r="C474" t="s">
        <v>20</v>
      </c>
      <c r="D474" t="s">
        <v>21</v>
      </c>
      <c r="E474" t="s">
        <v>22</v>
      </c>
      <c r="F474" t="s">
        <v>98</v>
      </c>
      <c r="G474" t="s">
        <v>1067</v>
      </c>
      <c r="H474" t="s">
        <v>44</v>
      </c>
      <c r="I474" t="s">
        <v>26</v>
      </c>
      <c r="J474" t="s">
        <v>75</v>
      </c>
      <c r="K474" t="s">
        <v>28</v>
      </c>
      <c r="L474">
        <v>1</v>
      </c>
      <c r="M474">
        <v>2043</v>
      </c>
      <c r="N474">
        <v>5016</v>
      </c>
      <c r="O474">
        <v>0.02</v>
      </c>
      <c r="P474">
        <v>5016</v>
      </c>
      <c r="Q474">
        <v>2973</v>
      </c>
      <c r="R474">
        <v>1</v>
      </c>
    </row>
    <row r="475" spans="1:18" x14ac:dyDescent="0.25">
      <c r="A475" t="s">
        <v>123</v>
      </c>
      <c r="B475" t="s">
        <v>1068</v>
      </c>
      <c r="C475" t="s">
        <v>141</v>
      </c>
      <c r="D475" t="s">
        <v>142</v>
      </c>
      <c r="E475" t="s">
        <v>51</v>
      </c>
      <c r="F475" t="s">
        <v>98</v>
      </c>
      <c r="G475" t="s">
        <v>340</v>
      </c>
      <c r="H475" t="s">
        <v>25</v>
      </c>
      <c r="I475" t="s">
        <v>45</v>
      </c>
      <c r="J475" t="s">
        <v>53</v>
      </c>
      <c r="K475" t="s">
        <v>28</v>
      </c>
      <c r="L475">
        <v>8</v>
      </c>
      <c r="M475">
        <v>2270</v>
      </c>
      <c r="N475">
        <v>8685</v>
      </c>
      <c r="O475">
        <v>0.04</v>
      </c>
      <c r="P475">
        <v>69480</v>
      </c>
      <c r="Q475">
        <v>51320</v>
      </c>
      <c r="R475">
        <v>1</v>
      </c>
    </row>
    <row r="476" spans="1:18" x14ac:dyDescent="0.25">
      <c r="A476" t="s">
        <v>47</v>
      </c>
      <c r="B476" t="s">
        <v>1069</v>
      </c>
      <c r="C476" t="s">
        <v>96</v>
      </c>
      <c r="D476" t="s">
        <v>97</v>
      </c>
      <c r="E476" t="s">
        <v>51</v>
      </c>
      <c r="F476" t="s">
        <v>23</v>
      </c>
      <c r="G476" t="s">
        <v>1070</v>
      </c>
      <c r="H476" t="s">
        <v>25</v>
      </c>
      <c r="I476" t="s">
        <v>35</v>
      </c>
      <c r="J476" t="s">
        <v>46</v>
      </c>
      <c r="K476" t="s">
        <v>54</v>
      </c>
      <c r="L476">
        <v>7</v>
      </c>
      <c r="M476">
        <v>11250</v>
      </c>
      <c r="N476">
        <v>12570</v>
      </c>
      <c r="O476">
        <v>0.04</v>
      </c>
      <c r="P476">
        <v>87990</v>
      </c>
      <c r="Q476">
        <v>9240</v>
      </c>
      <c r="R476">
        <v>3</v>
      </c>
    </row>
    <row r="477" spans="1:18" x14ac:dyDescent="0.25">
      <c r="A477" t="s">
        <v>603</v>
      </c>
      <c r="B477" t="s">
        <v>601</v>
      </c>
      <c r="C477" t="s">
        <v>71</v>
      </c>
      <c r="D477" t="s">
        <v>72</v>
      </c>
      <c r="E477" t="s">
        <v>64</v>
      </c>
      <c r="F477" t="s">
        <v>73</v>
      </c>
      <c r="G477" t="s">
        <v>1071</v>
      </c>
      <c r="H477" t="s">
        <v>25</v>
      </c>
      <c r="I477" t="s">
        <v>26</v>
      </c>
      <c r="J477" t="s">
        <v>46</v>
      </c>
      <c r="K477" t="s">
        <v>59</v>
      </c>
      <c r="L477">
        <v>7</v>
      </c>
      <c r="M477">
        <v>2829</v>
      </c>
      <c r="N477">
        <v>7632</v>
      </c>
      <c r="O477">
        <v>0.1</v>
      </c>
      <c r="P477">
        <v>53424</v>
      </c>
      <c r="Q477">
        <v>33621</v>
      </c>
    </row>
    <row r="478" spans="1:18" x14ac:dyDescent="0.25">
      <c r="A478" t="s">
        <v>312</v>
      </c>
      <c r="B478" t="s">
        <v>1072</v>
      </c>
      <c r="C478" t="s">
        <v>117</v>
      </c>
      <c r="D478" t="s">
        <v>118</v>
      </c>
      <c r="E478" t="s">
        <v>41</v>
      </c>
      <c r="F478" t="s">
        <v>92</v>
      </c>
      <c r="G478" t="s">
        <v>1073</v>
      </c>
      <c r="H478" t="s">
        <v>25</v>
      </c>
      <c r="I478" t="s">
        <v>35</v>
      </c>
      <c r="J478" t="s">
        <v>120</v>
      </c>
      <c r="K478" t="s">
        <v>28</v>
      </c>
      <c r="L478">
        <v>2</v>
      </c>
      <c r="M478">
        <v>4656</v>
      </c>
      <c r="N478">
        <v>8856</v>
      </c>
      <c r="O478">
        <v>0.02</v>
      </c>
      <c r="P478">
        <v>17712</v>
      </c>
      <c r="Q478">
        <v>8400</v>
      </c>
      <c r="R478">
        <v>5</v>
      </c>
    </row>
    <row r="479" spans="1:18" x14ac:dyDescent="0.25">
      <c r="A479" t="s">
        <v>203</v>
      </c>
      <c r="B479" t="s">
        <v>1074</v>
      </c>
      <c r="C479" t="s">
        <v>31</v>
      </c>
      <c r="D479" t="s">
        <v>32</v>
      </c>
      <c r="E479" t="s">
        <v>33</v>
      </c>
      <c r="F479" t="s">
        <v>98</v>
      </c>
      <c r="G479" t="s">
        <v>1075</v>
      </c>
      <c r="H479" t="s">
        <v>25</v>
      </c>
      <c r="I479" t="s">
        <v>26</v>
      </c>
      <c r="J479" t="s">
        <v>120</v>
      </c>
      <c r="K479" t="s">
        <v>59</v>
      </c>
      <c r="L479">
        <v>5</v>
      </c>
      <c r="M479">
        <v>8171</v>
      </c>
      <c r="N479">
        <v>10948</v>
      </c>
      <c r="O479">
        <v>0.04</v>
      </c>
      <c r="P479">
        <v>54740</v>
      </c>
      <c r="Q479">
        <v>13885</v>
      </c>
      <c r="R479">
        <v>3</v>
      </c>
    </row>
    <row r="480" spans="1:18" x14ac:dyDescent="0.25">
      <c r="A480" t="s">
        <v>450</v>
      </c>
      <c r="B480" t="s">
        <v>1076</v>
      </c>
      <c r="C480" t="s">
        <v>77</v>
      </c>
      <c r="D480" t="s">
        <v>78</v>
      </c>
      <c r="E480" t="s">
        <v>64</v>
      </c>
      <c r="F480" t="s">
        <v>92</v>
      </c>
      <c r="G480" t="s">
        <v>1077</v>
      </c>
      <c r="H480" t="s">
        <v>44</v>
      </c>
      <c r="I480" t="s">
        <v>35</v>
      </c>
      <c r="J480" t="s">
        <v>27</v>
      </c>
      <c r="K480" t="s">
        <v>28</v>
      </c>
      <c r="L480">
        <v>4</v>
      </c>
      <c r="M480">
        <v>1795</v>
      </c>
      <c r="N480">
        <v>8058</v>
      </c>
      <c r="O480">
        <v>0</v>
      </c>
      <c r="P480">
        <v>32232</v>
      </c>
      <c r="Q480">
        <v>25052</v>
      </c>
      <c r="R480">
        <v>2</v>
      </c>
    </row>
    <row r="481" spans="1:18" x14ac:dyDescent="0.25">
      <c r="A481" t="s">
        <v>1046</v>
      </c>
      <c r="B481" t="s">
        <v>1078</v>
      </c>
      <c r="C481" t="s">
        <v>39</v>
      </c>
      <c r="D481" t="s">
        <v>40</v>
      </c>
      <c r="E481" t="s">
        <v>41</v>
      </c>
      <c r="G481" t="s">
        <v>1079</v>
      </c>
      <c r="H481" t="s">
        <v>25</v>
      </c>
      <c r="I481" t="s">
        <v>35</v>
      </c>
      <c r="J481" t="s">
        <v>120</v>
      </c>
      <c r="K481" t="s">
        <v>28</v>
      </c>
      <c r="L481">
        <v>5</v>
      </c>
      <c r="M481">
        <v>8586</v>
      </c>
      <c r="N481">
        <v>9661</v>
      </c>
      <c r="O481">
        <v>0.04</v>
      </c>
      <c r="P481">
        <v>48305</v>
      </c>
      <c r="Q481">
        <v>5375</v>
      </c>
      <c r="R481">
        <v>3</v>
      </c>
    </row>
    <row r="482" spans="1:18" x14ac:dyDescent="0.25">
      <c r="A482" t="s">
        <v>991</v>
      </c>
      <c r="B482" t="s">
        <v>1080</v>
      </c>
      <c r="C482" t="s">
        <v>278</v>
      </c>
      <c r="D482" t="s">
        <v>279</v>
      </c>
      <c r="E482" t="s">
        <v>64</v>
      </c>
      <c r="F482" t="s">
        <v>73</v>
      </c>
      <c r="G482" t="s">
        <v>283</v>
      </c>
      <c r="H482" t="s">
        <v>25</v>
      </c>
      <c r="I482" t="s">
        <v>26</v>
      </c>
      <c r="J482" t="s">
        <v>53</v>
      </c>
      <c r="K482" t="s">
        <v>28</v>
      </c>
      <c r="L482">
        <v>2</v>
      </c>
      <c r="M482">
        <v>4680</v>
      </c>
      <c r="N482">
        <v>12285</v>
      </c>
      <c r="O482">
        <v>0.02</v>
      </c>
      <c r="P482">
        <v>24570</v>
      </c>
      <c r="Q482">
        <v>15210</v>
      </c>
    </row>
    <row r="483" spans="1:18" x14ac:dyDescent="0.25">
      <c r="A483" t="s">
        <v>800</v>
      </c>
      <c r="B483" t="s">
        <v>1081</v>
      </c>
      <c r="C483" t="s">
        <v>117</v>
      </c>
      <c r="D483" t="s">
        <v>118</v>
      </c>
      <c r="E483" t="s">
        <v>41</v>
      </c>
      <c r="F483" t="s">
        <v>42</v>
      </c>
      <c r="G483" t="s">
        <v>1082</v>
      </c>
      <c r="H483" t="s">
        <v>44</v>
      </c>
      <c r="I483" t="s">
        <v>45</v>
      </c>
      <c r="J483" t="s">
        <v>53</v>
      </c>
      <c r="K483" t="s">
        <v>36</v>
      </c>
      <c r="L483">
        <v>5</v>
      </c>
      <c r="M483">
        <v>6269</v>
      </c>
      <c r="N483">
        <v>12377</v>
      </c>
      <c r="O483">
        <v>0.05</v>
      </c>
      <c r="P483">
        <v>61885</v>
      </c>
      <c r="Q483">
        <v>30540</v>
      </c>
      <c r="R483">
        <v>4</v>
      </c>
    </row>
    <row r="484" spans="1:18" x14ac:dyDescent="0.25">
      <c r="A484" t="s">
        <v>890</v>
      </c>
      <c r="B484" t="s">
        <v>961</v>
      </c>
      <c r="C484" t="s">
        <v>82</v>
      </c>
      <c r="D484" t="s">
        <v>83</v>
      </c>
      <c r="E484" t="s">
        <v>51</v>
      </c>
      <c r="F484" t="s">
        <v>73</v>
      </c>
      <c r="G484" t="s">
        <v>1083</v>
      </c>
      <c r="H484" t="s">
        <v>44</v>
      </c>
      <c r="I484" t="s">
        <v>35</v>
      </c>
      <c r="J484" t="s">
        <v>27</v>
      </c>
      <c r="K484" t="s">
        <v>54</v>
      </c>
      <c r="L484">
        <v>3</v>
      </c>
      <c r="M484">
        <v>9176</v>
      </c>
      <c r="N484">
        <v>12938</v>
      </c>
      <c r="O484">
        <v>0</v>
      </c>
      <c r="P484">
        <v>38814</v>
      </c>
      <c r="Q484">
        <v>11286</v>
      </c>
      <c r="R484">
        <v>3</v>
      </c>
    </row>
    <row r="485" spans="1:18" x14ac:dyDescent="0.25">
      <c r="A485" t="s">
        <v>37</v>
      </c>
      <c r="B485" t="s">
        <v>313</v>
      </c>
      <c r="C485" t="s">
        <v>216</v>
      </c>
      <c r="D485" t="s">
        <v>217</v>
      </c>
      <c r="E485" t="s">
        <v>33</v>
      </c>
      <c r="F485" t="s">
        <v>42</v>
      </c>
      <c r="G485" t="s">
        <v>1084</v>
      </c>
      <c r="H485" t="s">
        <v>44</v>
      </c>
      <c r="I485" t="s">
        <v>26</v>
      </c>
      <c r="J485" t="s">
        <v>103</v>
      </c>
      <c r="K485" t="s">
        <v>28</v>
      </c>
      <c r="L485">
        <v>1</v>
      </c>
      <c r="M485">
        <v>9353</v>
      </c>
      <c r="N485">
        <v>15720</v>
      </c>
      <c r="O485">
        <v>0.1</v>
      </c>
      <c r="P485">
        <v>15720</v>
      </c>
      <c r="Q485">
        <v>6367</v>
      </c>
      <c r="R485">
        <v>2</v>
      </c>
    </row>
    <row r="486" spans="1:18" x14ac:dyDescent="0.25">
      <c r="A486" t="s">
        <v>496</v>
      </c>
      <c r="B486" t="s">
        <v>1085</v>
      </c>
      <c r="C486" t="s">
        <v>278</v>
      </c>
      <c r="D486" t="s">
        <v>279</v>
      </c>
      <c r="E486" t="s">
        <v>64</v>
      </c>
      <c r="F486" t="s">
        <v>92</v>
      </c>
      <c r="G486" t="s">
        <v>1086</v>
      </c>
      <c r="H486" t="s">
        <v>44</v>
      </c>
      <c r="I486" t="s">
        <v>35</v>
      </c>
      <c r="J486" t="s">
        <v>103</v>
      </c>
      <c r="K486" t="s">
        <v>28</v>
      </c>
      <c r="L486">
        <v>2</v>
      </c>
      <c r="M486">
        <v>6549</v>
      </c>
      <c r="N486">
        <v>11354</v>
      </c>
      <c r="O486">
        <v>0.02</v>
      </c>
      <c r="P486">
        <v>22708</v>
      </c>
      <c r="Q486">
        <v>9610</v>
      </c>
    </row>
    <row r="487" spans="1:18" x14ac:dyDescent="0.25">
      <c r="A487" t="s">
        <v>928</v>
      </c>
      <c r="B487" t="s">
        <v>1087</v>
      </c>
      <c r="C487" t="s">
        <v>20</v>
      </c>
      <c r="D487" t="s">
        <v>21</v>
      </c>
      <c r="E487" t="s">
        <v>22</v>
      </c>
      <c r="F487" t="s">
        <v>42</v>
      </c>
      <c r="G487" t="s">
        <v>346</v>
      </c>
      <c r="H487" t="s">
        <v>25</v>
      </c>
      <c r="I487" t="s">
        <v>45</v>
      </c>
      <c r="J487" t="s">
        <v>46</v>
      </c>
      <c r="K487" t="s">
        <v>54</v>
      </c>
      <c r="L487">
        <v>3</v>
      </c>
      <c r="M487">
        <v>7949</v>
      </c>
      <c r="N487">
        <v>12077</v>
      </c>
      <c r="O487">
        <v>0.1</v>
      </c>
      <c r="P487">
        <v>36231</v>
      </c>
      <c r="Q487">
        <v>12384</v>
      </c>
      <c r="R487">
        <v>2</v>
      </c>
    </row>
    <row r="488" spans="1:18" x14ac:dyDescent="0.25">
      <c r="A488" t="s">
        <v>776</v>
      </c>
      <c r="B488" t="s">
        <v>165</v>
      </c>
      <c r="C488" t="s">
        <v>20</v>
      </c>
      <c r="D488" t="s">
        <v>21</v>
      </c>
      <c r="E488" t="s">
        <v>22</v>
      </c>
      <c r="F488" t="s">
        <v>73</v>
      </c>
      <c r="G488" t="s">
        <v>1088</v>
      </c>
      <c r="H488" t="s">
        <v>25</v>
      </c>
      <c r="I488" t="s">
        <v>26</v>
      </c>
      <c r="J488" t="s">
        <v>27</v>
      </c>
      <c r="K488" t="s">
        <v>59</v>
      </c>
      <c r="L488">
        <v>8</v>
      </c>
      <c r="M488">
        <v>10204</v>
      </c>
      <c r="N488">
        <v>14270</v>
      </c>
      <c r="O488">
        <v>0</v>
      </c>
      <c r="P488">
        <v>114160</v>
      </c>
      <c r="Q488">
        <v>32528</v>
      </c>
      <c r="R488">
        <v>3</v>
      </c>
    </row>
    <row r="489" spans="1:18" x14ac:dyDescent="0.25">
      <c r="A489" t="s">
        <v>312</v>
      </c>
      <c r="B489" t="s">
        <v>1089</v>
      </c>
      <c r="C489" t="s">
        <v>49</v>
      </c>
      <c r="D489" t="s">
        <v>50</v>
      </c>
      <c r="E489" t="s">
        <v>51</v>
      </c>
      <c r="F489" t="s">
        <v>92</v>
      </c>
      <c r="G489" t="s">
        <v>1090</v>
      </c>
      <c r="H489" t="s">
        <v>44</v>
      </c>
      <c r="I489" t="s">
        <v>45</v>
      </c>
      <c r="J489" t="s">
        <v>103</v>
      </c>
      <c r="K489" t="s">
        <v>36</v>
      </c>
      <c r="L489">
        <v>4</v>
      </c>
      <c r="M489">
        <v>11144</v>
      </c>
      <c r="N489">
        <v>13883</v>
      </c>
      <c r="O489">
        <v>0.05</v>
      </c>
      <c r="P489">
        <v>55532</v>
      </c>
      <c r="Q489">
        <v>10956</v>
      </c>
      <c r="R489">
        <v>4</v>
      </c>
    </row>
    <row r="490" spans="1:18" x14ac:dyDescent="0.25">
      <c r="A490" t="s">
        <v>886</v>
      </c>
      <c r="B490" t="s">
        <v>1056</v>
      </c>
      <c r="C490" t="s">
        <v>149</v>
      </c>
      <c r="D490" t="s">
        <v>150</v>
      </c>
      <c r="E490" t="s">
        <v>51</v>
      </c>
      <c r="F490" t="s">
        <v>42</v>
      </c>
      <c r="G490" t="s">
        <v>1070</v>
      </c>
      <c r="H490" t="s">
        <v>25</v>
      </c>
      <c r="I490" t="s">
        <v>26</v>
      </c>
      <c r="J490" t="s">
        <v>103</v>
      </c>
      <c r="K490" t="s">
        <v>28</v>
      </c>
      <c r="L490">
        <v>5</v>
      </c>
      <c r="M490">
        <v>8786</v>
      </c>
      <c r="N490">
        <v>12120</v>
      </c>
      <c r="O490">
        <v>0</v>
      </c>
      <c r="P490">
        <v>60600</v>
      </c>
      <c r="Q490">
        <v>16670</v>
      </c>
      <c r="R490">
        <v>4</v>
      </c>
    </row>
    <row r="491" spans="1:18" x14ac:dyDescent="0.25">
      <c r="A491" t="s">
        <v>1024</v>
      </c>
      <c r="B491" t="s">
        <v>956</v>
      </c>
      <c r="C491" t="s">
        <v>278</v>
      </c>
      <c r="D491" t="s">
        <v>279</v>
      </c>
      <c r="E491" t="s">
        <v>64</v>
      </c>
      <c r="F491" t="s">
        <v>23</v>
      </c>
      <c r="G491" t="s">
        <v>1091</v>
      </c>
      <c r="H491" t="s">
        <v>25</v>
      </c>
      <c r="I491" t="s">
        <v>45</v>
      </c>
      <c r="J491" t="s">
        <v>103</v>
      </c>
      <c r="K491" t="s">
        <v>59</v>
      </c>
      <c r="L491">
        <v>3</v>
      </c>
      <c r="M491">
        <v>7985</v>
      </c>
      <c r="N491">
        <v>11863</v>
      </c>
      <c r="O491">
        <v>0</v>
      </c>
      <c r="P491">
        <v>35589</v>
      </c>
      <c r="Q491">
        <v>11634</v>
      </c>
      <c r="R491">
        <v>1</v>
      </c>
    </row>
    <row r="492" spans="1:18" x14ac:dyDescent="0.25">
      <c r="A492" t="s">
        <v>112</v>
      </c>
      <c r="B492" t="s">
        <v>1092</v>
      </c>
      <c r="C492" t="s">
        <v>49</v>
      </c>
      <c r="D492" t="s">
        <v>50</v>
      </c>
      <c r="E492" t="s">
        <v>51</v>
      </c>
      <c r="F492" t="s">
        <v>73</v>
      </c>
      <c r="G492" t="s">
        <v>1093</v>
      </c>
      <c r="H492" t="s">
        <v>44</v>
      </c>
      <c r="I492" t="s">
        <v>45</v>
      </c>
      <c r="J492" t="s">
        <v>120</v>
      </c>
      <c r="K492" t="s">
        <v>28</v>
      </c>
      <c r="L492">
        <v>7</v>
      </c>
      <c r="M492">
        <v>4992</v>
      </c>
      <c r="N492">
        <v>12463</v>
      </c>
      <c r="O492">
        <v>0.1</v>
      </c>
      <c r="P492">
        <v>87241</v>
      </c>
      <c r="Q492">
        <v>52297</v>
      </c>
      <c r="R492">
        <v>2</v>
      </c>
    </row>
    <row r="493" spans="1:18" x14ac:dyDescent="0.25">
      <c r="A493" t="s">
        <v>161</v>
      </c>
      <c r="B493" t="s">
        <v>851</v>
      </c>
      <c r="C493" t="s">
        <v>20</v>
      </c>
      <c r="D493" t="s">
        <v>21</v>
      </c>
      <c r="E493" t="s">
        <v>22</v>
      </c>
      <c r="F493" t="s">
        <v>42</v>
      </c>
      <c r="G493" t="s">
        <v>1094</v>
      </c>
      <c r="H493" t="s">
        <v>44</v>
      </c>
      <c r="I493" t="s">
        <v>26</v>
      </c>
      <c r="J493" t="s">
        <v>103</v>
      </c>
      <c r="K493" t="s">
        <v>54</v>
      </c>
      <c r="L493">
        <v>1</v>
      </c>
      <c r="M493">
        <v>14575</v>
      </c>
      <c r="N493">
        <v>20508</v>
      </c>
      <c r="O493">
        <v>0</v>
      </c>
      <c r="P493">
        <v>20508</v>
      </c>
      <c r="Q493">
        <v>5933</v>
      </c>
    </row>
    <row r="494" spans="1:18" x14ac:dyDescent="0.25">
      <c r="A494" t="s">
        <v>1095</v>
      </c>
      <c r="B494" t="s">
        <v>1096</v>
      </c>
      <c r="C494" t="s">
        <v>71</v>
      </c>
      <c r="D494" t="s">
        <v>72</v>
      </c>
      <c r="E494" t="s">
        <v>64</v>
      </c>
      <c r="F494" t="s">
        <v>98</v>
      </c>
      <c r="G494" t="s">
        <v>1097</v>
      </c>
      <c r="H494" t="s">
        <v>25</v>
      </c>
      <c r="I494" t="s">
        <v>26</v>
      </c>
      <c r="J494" t="s">
        <v>58</v>
      </c>
      <c r="K494" t="s">
        <v>59</v>
      </c>
      <c r="L494">
        <v>1</v>
      </c>
      <c r="M494">
        <v>9904</v>
      </c>
      <c r="N494">
        <v>11955</v>
      </c>
      <c r="O494">
        <v>0.05</v>
      </c>
      <c r="P494">
        <v>11955</v>
      </c>
      <c r="Q494">
        <v>2051</v>
      </c>
      <c r="R494">
        <v>4</v>
      </c>
    </row>
    <row r="495" spans="1:18" x14ac:dyDescent="0.25">
      <c r="A495" t="s">
        <v>707</v>
      </c>
      <c r="B495" t="s">
        <v>1098</v>
      </c>
      <c r="C495" t="s">
        <v>39</v>
      </c>
      <c r="D495" t="s">
        <v>40</v>
      </c>
      <c r="E495" t="s">
        <v>41</v>
      </c>
      <c r="F495" t="s">
        <v>98</v>
      </c>
      <c r="G495" t="s">
        <v>1099</v>
      </c>
      <c r="H495" t="s">
        <v>44</v>
      </c>
      <c r="I495" t="s">
        <v>45</v>
      </c>
      <c r="J495" t="s">
        <v>58</v>
      </c>
      <c r="K495" t="s">
        <v>54</v>
      </c>
      <c r="L495">
        <v>2</v>
      </c>
      <c r="M495">
        <v>9844</v>
      </c>
      <c r="N495">
        <v>10490</v>
      </c>
      <c r="O495">
        <v>0</v>
      </c>
      <c r="P495">
        <v>20980</v>
      </c>
      <c r="Q495">
        <v>1292</v>
      </c>
      <c r="R495">
        <v>5</v>
      </c>
    </row>
    <row r="496" spans="1:18" x14ac:dyDescent="0.25">
      <c r="A496" t="s">
        <v>47</v>
      </c>
      <c r="B496" t="s">
        <v>1100</v>
      </c>
      <c r="C496" t="s">
        <v>49</v>
      </c>
      <c r="D496" t="s">
        <v>50</v>
      </c>
      <c r="E496" t="s">
        <v>51</v>
      </c>
      <c r="F496" t="s">
        <v>42</v>
      </c>
      <c r="G496" t="s">
        <v>997</v>
      </c>
      <c r="H496" t="s">
        <v>44</v>
      </c>
      <c r="I496" t="s">
        <v>26</v>
      </c>
      <c r="J496" t="s">
        <v>103</v>
      </c>
      <c r="K496" t="s">
        <v>28</v>
      </c>
      <c r="L496">
        <v>8</v>
      </c>
      <c r="M496">
        <v>13051</v>
      </c>
      <c r="N496">
        <v>18708</v>
      </c>
      <c r="O496">
        <v>0.02</v>
      </c>
      <c r="P496">
        <v>149664</v>
      </c>
      <c r="Q496">
        <v>45256</v>
      </c>
    </row>
    <row r="497" spans="1:18" x14ac:dyDescent="0.25">
      <c r="A497" t="s">
        <v>948</v>
      </c>
      <c r="B497" t="s">
        <v>1101</v>
      </c>
      <c r="C497" t="s">
        <v>71</v>
      </c>
      <c r="D497" t="s">
        <v>72</v>
      </c>
      <c r="E497" t="s">
        <v>64</v>
      </c>
      <c r="F497" t="s">
        <v>92</v>
      </c>
      <c r="G497" t="s">
        <v>1102</v>
      </c>
      <c r="H497" t="s">
        <v>25</v>
      </c>
      <c r="I497" t="s">
        <v>26</v>
      </c>
      <c r="J497" t="s">
        <v>103</v>
      </c>
      <c r="K497" t="s">
        <v>54</v>
      </c>
      <c r="L497">
        <v>8</v>
      </c>
      <c r="M497">
        <v>1074</v>
      </c>
      <c r="N497">
        <v>5956</v>
      </c>
      <c r="O497">
        <v>0</v>
      </c>
      <c r="P497">
        <v>47648</v>
      </c>
      <c r="Q497">
        <v>39056</v>
      </c>
      <c r="R497">
        <v>3</v>
      </c>
    </row>
    <row r="498" spans="1:18" x14ac:dyDescent="0.25">
      <c r="A498" t="s">
        <v>508</v>
      </c>
      <c r="B498" t="s">
        <v>1103</v>
      </c>
      <c r="C498" t="s">
        <v>241</v>
      </c>
      <c r="D498" t="s">
        <v>242</v>
      </c>
      <c r="E498" t="s">
        <v>22</v>
      </c>
      <c r="F498" t="s">
        <v>73</v>
      </c>
      <c r="G498" t="s">
        <v>1104</v>
      </c>
      <c r="H498" t="s">
        <v>25</v>
      </c>
      <c r="I498" t="s">
        <v>26</v>
      </c>
      <c r="J498" t="s">
        <v>120</v>
      </c>
      <c r="K498" t="s">
        <v>54</v>
      </c>
      <c r="L498">
        <v>8</v>
      </c>
      <c r="M498">
        <v>13487</v>
      </c>
      <c r="N498">
        <v>15957</v>
      </c>
      <c r="O498">
        <v>0.04</v>
      </c>
      <c r="P498">
        <v>127656</v>
      </c>
      <c r="Q498">
        <v>19760</v>
      </c>
    </row>
    <row r="499" spans="1:18" x14ac:dyDescent="0.25">
      <c r="A499" t="s">
        <v>1003</v>
      </c>
      <c r="B499" t="s">
        <v>326</v>
      </c>
      <c r="C499" t="s">
        <v>20</v>
      </c>
      <c r="D499" t="s">
        <v>21</v>
      </c>
      <c r="E499" t="s">
        <v>22</v>
      </c>
      <c r="G499" t="s">
        <v>213</v>
      </c>
      <c r="H499" t="s">
        <v>25</v>
      </c>
      <c r="I499" t="s">
        <v>26</v>
      </c>
      <c r="J499" t="s">
        <v>46</v>
      </c>
      <c r="K499" t="s">
        <v>28</v>
      </c>
      <c r="L499">
        <v>7</v>
      </c>
      <c r="M499">
        <v>3185</v>
      </c>
      <c r="N499">
        <v>5932</v>
      </c>
      <c r="O499">
        <v>0.04</v>
      </c>
      <c r="P499">
        <v>41524</v>
      </c>
      <c r="Q499">
        <v>19229</v>
      </c>
      <c r="R499">
        <v>4</v>
      </c>
    </row>
    <row r="500" spans="1:18" x14ac:dyDescent="0.25">
      <c r="A500" t="s">
        <v>126</v>
      </c>
      <c r="B500" t="s">
        <v>798</v>
      </c>
      <c r="C500" t="s">
        <v>39</v>
      </c>
      <c r="D500" t="s">
        <v>40</v>
      </c>
      <c r="E500" t="s">
        <v>41</v>
      </c>
      <c r="F500" t="s">
        <v>98</v>
      </c>
      <c r="G500" t="s">
        <v>194</v>
      </c>
      <c r="H500" t="s">
        <v>25</v>
      </c>
      <c r="I500" t="s">
        <v>26</v>
      </c>
      <c r="J500" t="s">
        <v>46</v>
      </c>
      <c r="K500" t="s">
        <v>54</v>
      </c>
      <c r="L500">
        <v>3</v>
      </c>
      <c r="M500">
        <v>3016</v>
      </c>
      <c r="N500">
        <v>7450</v>
      </c>
      <c r="O500">
        <v>0</v>
      </c>
      <c r="P500">
        <v>22350</v>
      </c>
      <c r="Q500">
        <v>13302</v>
      </c>
      <c r="R500">
        <v>1</v>
      </c>
    </row>
    <row r="501" spans="1:18" x14ac:dyDescent="0.25">
      <c r="A501" t="s">
        <v>508</v>
      </c>
      <c r="B501" t="s">
        <v>1105</v>
      </c>
      <c r="C501" t="s">
        <v>278</v>
      </c>
      <c r="D501" t="s">
        <v>279</v>
      </c>
      <c r="E501" t="s">
        <v>64</v>
      </c>
      <c r="F501" t="s">
        <v>98</v>
      </c>
      <c r="G501" t="s">
        <v>1106</v>
      </c>
      <c r="H501" t="s">
        <v>44</v>
      </c>
      <c r="I501" t="s">
        <v>45</v>
      </c>
      <c r="J501" t="s">
        <v>75</v>
      </c>
      <c r="K501" t="s">
        <v>54</v>
      </c>
      <c r="L501">
        <v>6</v>
      </c>
      <c r="M501">
        <v>6656</v>
      </c>
      <c r="N501">
        <v>7827</v>
      </c>
      <c r="O501">
        <v>0.02</v>
      </c>
      <c r="P501">
        <v>46962</v>
      </c>
      <c r="Q501">
        <v>7026</v>
      </c>
      <c r="R501">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C5A05-0DEB-4796-9C7B-34FF55FAAA6C}">
  <dimension ref="A1:R501"/>
  <sheetViews>
    <sheetView tabSelected="1" topLeftCell="E1" zoomScaleNormal="100" workbookViewId="0">
      <selection activeCell="L18" sqref="L18"/>
    </sheetView>
  </sheetViews>
  <sheetFormatPr defaultRowHeight="15" x14ac:dyDescent="0.25"/>
  <cols>
    <col min="1" max="1" width="11.28515625" bestFit="1" customWidth="1"/>
    <col min="2" max="2" width="13.5703125" style="1" bestFit="1" customWidth="1"/>
    <col min="3" max="3" width="13" bestFit="1" customWidth="1"/>
    <col min="4" max="4" width="21.140625" bestFit="1" customWidth="1"/>
    <col min="5" max="5" width="11.140625" bestFit="1" customWidth="1"/>
    <col min="6" max="6" width="12.28515625" bestFit="1" customWidth="1"/>
    <col min="7" max="7" width="10" bestFit="1" customWidth="1"/>
    <col min="8" max="8" width="13.28515625" bestFit="1" customWidth="1"/>
    <col min="9" max="9" width="11.7109375" bestFit="1" customWidth="1"/>
    <col min="10" max="10" width="16.28515625" bestFit="1" customWidth="1"/>
    <col min="11" max="11" width="16" bestFit="1" customWidth="1"/>
    <col min="12" max="12" width="12.5703125" style="2" bestFit="1" customWidth="1"/>
    <col min="13" max="13" width="18.140625" style="2" bestFit="1" customWidth="1"/>
    <col min="14" max="14" width="14.7109375" style="2" bestFit="1" customWidth="1"/>
    <col min="15" max="15" width="19" style="5" bestFit="1" customWidth="1"/>
    <col min="16" max="16" width="11.140625" style="2" bestFit="1" customWidth="1"/>
    <col min="17" max="17" width="10.140625" style="2" bestFit="1" customWidth="1"/>
    <col min="18" max="18" width="11.140625" style="3" bestFit="1" customWidth="1"/>
  </cols>
  <sheetData>
    <row r="1" spans="1:18" x14ac:dyDescent="0.25">
      <c r="A1" t="s">
        <v>0</v>
      </c>
      <c r="B1" s="1" t="s">
        <v>1</v>
      </c>
      <c r="C1" t="s">
        <v>2</v>
      </c>
      <c r="D1" t="s">
        <v>3</v>
      </c>
      <c r="E1" t="s">
        <v>4</v>
      </c>
      <c r="F1" t="s">
        <v>5</v>
      </c>
      <c r="G1" t="s">
        <v>7</v>
      </c>
      <c r="H1" t="s">
        <v>8</v>
      </c>
      <c r="I1" t="s">
        <v>9</v>
      </c>
      <c r="J1" t="s">
        <v>10</v>
      </c>
      <c r="K1" t="s">
        <v>11</v>
      </c>
      <c r="L1" s="2" t="s">
        <v>12</v>
      </c>
      <c r="M1" s="2" t="s">
        <v>1395</v>
      </c>
      <c r="N1" s="2" t="s">
        <v>13</v>
      </c>
      <c r="O1" s="5" t="s">
        <v>14</v>
      </c>
      <c r="P1" s="2" t="s">
        <v>15</v>
      </c>
      <c r="Q1" s="2" t="s">
        <v>16</v>
      </c>
      <c r="R1" s="4" t="s">
        <v>17</v>
      </c>
    </row>
    <row r="2" spans="1:18" x14ac:dyDescent="0.25">
      <c r="A2" t="s">
        <v>589</v>
      </c>
      <c r="B2" s="1">
        <v>45659</v>
      </c>
      <c r="C2" t="s">
        <v>20</v>
      </c>
      <c r="D2" t="s">
        <v>1107</v>
      </c>
      <c r="E2" t="s">
        <v>22</v>
      </c>
      <c r="F2" t="s">
        <v>23</v>
      </c>
      <c r="G2" t="s">
        <v>25</v>
      </c>
      <c r="H2" t="s">
        <v>26</v>
      </c>
      <c r="I2" t="s">
        <v>27</v>
      </c>
      <c r="J2" t="s">
        <v>28</v>
      </c>
      <c r="K2">
        <v>2</v>
      </c>
      <c r="L2" s="2">
        <v>10089</v>
      </c>
      <c r="M2" s="2">
        <f>Table1[[#This Row],[Cost_Price]]*Table1[[#This Row],[Quantity_Sold]]</f>
        <v>20178</v>
      </c>
      <c r="N2" s="2">
        <v>12140</v>
      </c>
      <c r="O2" s="5">
        <v>0.02</v>
      </c>
      <c r="P2" s="2">
        <v>24280</v>
      </c>
      <c r="Q2" s="2">
        <v>4102</v>
      </c>
      <c r="R2">
        <v>2</v>
      </c>
    </row>
    <row r="3" spans="1:18" x14ac:dyDescent="0.25">
      <c r="A3" t="s">
        <v>984</v>
      </c>
      <c r="B3" s="1">
        <v>45451</v>
      </c>
      <c r="C3" t="s">
        <v>31</v>
      </c>
      <c r="D3" t="s">
        <v>32</v>
      </c>
      <c r="E3" t="s">
        <v>33</v>
      </c>
      <c r="F3" t="s">
        <v>1110</v>
      </c>
      <c r="G3" t="s">
        <v>25</v>
      </c>
      <c r="H3" t="s">
        <v>35</v>
      </c>
      <c r="I3" t="s">
        <v>27</v>
      </c>
      <c r="J3" t="s">
        <v>36</v>
      </c>
      <c r="K3">
        <v>4</v>
      </c>
      <c r="L3" s="2">
        <v>13311</v>
      </c>
      <c r="M3" s="2">
        <f>Table1[[#This Row],[Cost_Price]]*Table1[[#This Row],[Quantity_Sold]]</f>
        <v>53244</v>
      </c>
      <c r="N3" s="2">
        <v>17701</v>
      </c>
      <c r="O3" s="5">
        <v>0.04</v>
      </c>
      <c r="P3" s="2">
        <v>70804</v>
      </c>
      <c r="Q3" s="2">
        <v>17560</v>
      </c>
      <c r="R3">
        <v>3</v>
      </c>
    </row>
    <row r="4" spans="1:18" x14ac:dyDescent="0.25">
      <c r="A4" t="s">
        <v>126</v>
      </c>
      <c r="B4" s="1">
        <v>45493</v>
      </c>
      <c r="C4" t="s">
        <v>39</v>
      </c>
      <c r="D4" t="s">
        <v>1108</v>
      </c>
      <c r="E4" t="s">
        <v>41</v>
      </c>
      <c r="F4" t="s">
        <v>42</v>
      </c>
      <c r="G4" t="s">
        <v>44</v>
      </c>
      <c r="H4" t="s">
        <v>45</v>
      </c>
      <c r="I4" t="s">
        <v>103</v>
      </c>
      <c r="J4" t="s">
        <v>28</v>
      </c>
      <c r="K4">
        <v>7</v>
      </c>
      <c r="L4" s="2">
        <v>3840</v>
      </c>
      <c r="M4" s="2">
        <f>Table1[[#This Row],[Cost_Price]]*Table1[[#This Row],[Quantity_Sold]]</f>
        <v>26880</v>
      </c>
      <c r="N4" s="2">
        <v>9112</v>
      </c>
      <c r="O4" s="5">
        <v>0.1</v>
      </c>
      <c r="P4" s="2">
        <v>63784</v>
      </c>
      <c r="Q4" s="2">
        <v>36904</v>
      </c>
      <c r="R4">
        <v>4</v>
      </c>
    </row>
    <row r="5" spans="1:18" x14ac:dyDescent="0.25">
      <c r="A5" t="s">
        <v>344</v>
      </c>
      <c r="B5" s="1">
        <v>45651</v>
      </c>
      <c r="C5" t="s">
        <v>49</v>
      </c>
      <c r="D5" t="s">
        <v>83</v>
      </c>
      <c r="E5" t="s">
        <v>51</v>
      </c>
      <c r="F5" t="s">
        <v>23</v>
      </c>
      <c r="G5" t="s">
        <v>44</v>
      </c>
      <c r="H5" t="s">
        <v>26</v>
      </c>
      <c r="I5" t="s">
        <v>103</v>
      </c>
      <c r="J5" t="s">
        <v>54</v>
      </c>
      <c r="K5">
        <v>7</v>
      </c>
      <c r="L5" s="2">
        <v>8462</v>
      </c>
      <c r="M5" s="2">
        <f>Table1[[#This Row],[Cost_Price]]*Table1[[#This Row],[Quantity_Sold]]</f>
        <v>59234</v>
      </c>
      <c r="N5" s="2">
        <v>11456</v>
      </c>
      <c r="O5" s="5">
        <v>0</v>
      </c>
      <c r="P5" s="2">
        <v>80192</v>
      </c>
      <c r="Q5" s="2">
        <v>20958</v>
      </c>
      <c r="R5">
        <v>4</v>
      </c>
    </row>
    <row r="6" spans="1:18" x14ac:dyDescent="0.25">
      <c r="A6" t="s">
        <v>654</v>
      </c>
      <c r="B6" s="1">
        <v>45404</v>
      </c>
      <c r="C6" t="s">
        <v>20</v>
      </c>
      <c r="D6" t="s">
        <v>1107</v>
      </c>
      <c r="E6" t="s">
        <v>22</v>
      </c>
      <c r="F6" t="s">
        <v>23</v>
      </c>
      <c r="G6" t="s">
        <v>25</v>
      </c>
      <c r="H6" t="s">
        <v>35</v>
      </c>
      <c r="I6" t="s">
        <v>58</v>
      </c>
      <c r="J6" t="s">
        <v>59</v>
      </c>
      <c r="K6">
        <v>2</v>
      </c>
      <c r="L6" s="2">
        <v>14499</v>
      </c>
      <c r="M6" s="2">
        <f>Table1[[#This Row],[Cost_Price]]*Table1[[#This Row],[Quantity_Sold]]</f>
        <v>28998</v>
      </c>
      <c r="N6" s="2">
        <v>15533</v>
      </c>
      <c r="O6" s="5">
        <v>0.04</v>
      </c>
      <c r="P6" s="2">
        <v>31066</v>
      </c>
      <c r="Q6" s="2">
        <v>2068</v>
      </c>
      <c r="R6">
        <v>4</v>
      </c>
    </row>
    <row r="7" spans="1:18" x14ac:dyDescent="0.25">
      <c r="A7" t="s">
        <v>835</v>
      </c>
      <c r="B7" s="1">
        <v>45655</v>
      </c>
      <c r="C7" t="s">
        <v>62</v>
      </c>
      <c r="D7" t="s">
        <v>63</v>
      </c>
      <c r="E7" t="s">
        <v>64</v>
      </c>
      <c r="F7" t="s">
        <v>23</v>
      </c>
      <c r="G7" t="s">
        <v>25</v>
      </c>
      <c r="H7" t="s">
        <v>35</v>
      </c>
      <c r="I7" t="s">
        <v>103</v>
      </c>
      <c r="J7" t="s">
        <v>28</v>
      </c>
      <c r="K7">
        <v>8</v>
      </c>
      <c r="L7" s="2">
        <v>6459</v>
      </c>
      <c r="M7" s="2">
        <f>Table1[[#This Row],[Cost_Price]]*Table1[[#This Row],[Quantity_Sold]]</f>
        <v>51672</v>
      </c>
      <c r="N7" s="2">
        <v>11182</v>
      </c>
      <c r="O7" s="5">
        <v>0.04</v>
      </c>
      <c r="P7" s="2">
        <v>89456</v>
      </c>
      <c r="Q7" s="2">
        <v>37784</v>
      </c>
      <c r="R7">
        <v>4</v>
      </c>
    </row>
    <row r="8" spans="1:18" x14ac:dyDescent="0.25">
      <c r="A8" t="s">
        <v>158</v>
      </c>
      <c r="B8" s="1">
        <v>45462</v>
      </c>
      <c r="C8" t="s">
        <v>20</v>
      </c>
      <c r="D8" t="s">
        <v>1107</v>
      </c>
      <c r="E8" t="s">
        <v>22</v>
      </c>
      <c r="F8" t="s">
        <v>42</v>
      </c>
      <c r="G8" t="s">
        <v>25</v>
      </c>
      <c r="H8" t="s">
        <v>26</v>
      </c>
      <c r="I8" t="s">
        <v>58</v>
      </c>
      <c r="J8" t="s">
        <v>59</v>
      </c>
      <c r="K8">
        <v>2</v>
      </c>
      <c r="L8" s="2">
        <v>7078</v>
      </c>
      <c r="M8" s="2">
        <f>Table1[[#This Row],[Cost_Price]]*Table1[[#This Row],[Quantity_Sold]]</f>
        <v>14156</v>
      </c>
      <c r="N8" s="2">
        <v>11343</v>
      </c>
      <c r="O8" s="5">
        <v>0.04</v>
      </c>
      <c r="P8" s="2">
        <v>22686</v>
      </c>
      <c r="Q8" s="2">
        <v>8530</v>
      </c>
      <c r="R8" s="3" t="s">
        <v>1110</v>
      </c>
    </row>
    <row r="9" spans="1:18" x14ac:dyDescent="0.25">
      <c r="A9" t="s">
        <v>586</v>
      </c>
      <c r="B9" s="1">
        <v>45724</v>
      </c>
      <c r="C9" t="s">
        <v>71</v>
      </c>
      <c r="D9" t="s">
        <v>72</v>
      </c>
      <c r="E9" t="s">
        <v>64</v>
      </c>
      <c r="F9" t="s">
        <v>73</v>
      </c>
      <c r="G9" t="s">
        <v>44</v>
      </c>
      <c r="H9" t="s">
        <v>45</v>
      </c>
      <c r="I9" t="s">
        <v>103</v>
      </c>
      <c r="J9" t="s">
        <v>54</v>
      </c>
      <c r="K9">
        <v>3</v>
      </c>
      <c r="L9" s="2">
        <v>14972</v>
      </c>
      <c r="M9" s="2">
        <f>Table1[[#This Row],[Cost_Price]]*Table1[[#This Row],[Quantity_Sold]]</f>
        <v>44916</v>
      </c>
      <c r="N9" s="2">
        <v>19467</v>
      </c>
      <c r="O9" s="5">
        <v>0.04</v>
      </c>
      <c r="P9" s="2">
        <v>58401</v>
      </c>
      <c r="Q9" s="2">
        <v>13485</v>
      </c>
      <c r="R9">
        <v>5</v>
      </c>
    </row>
    <row r="10" spans="1:18" x14ac:dyDescent="0.25">
      <c r="A10" t="s">
        <v>359</v>
      </c>
      <c r="B10" s="1">
        <v>45651</v>
      </c>
      <c r="C10" t="s">
        <v>77</v>
      </c>
      <c r="D10" t="s">
        <v>78</v>
      </c>
      <c r="E10" t="s">
        <v>64</v>
      </c>
      <c r="F10" t="s">
        <v>23</v>
      </c>
      <c r="G10" t="s">
        <v>44</v>
      </c>
      <c r="H10" t="s">
        <v>45</v>
      </c>
      <c r="I10" t="s">
        <v>103</v>
      </c>
      <c r="J10" t="s">
        <v>28</v>
      </c>
      <c r="K10">
        <v>4</v>
      </c>
      <c r="L10" s="2">
        <v>6626</v>
      </c>
      <c r="M10" s="2">
        <f>Table1[[#This Row],[Cost_Price]]*Table1[[#This Row],[Quantity_Sold]]</f>
        <v>26504</v>
      </c>
      <c r="N10" s="2">
        <v>14222</v>
      </c>
      <c r="O10" s="5">
        <v>0.02</v>
      </c>
      <c r="P10" s="2">
        <v>56888</v>
      </c>
      <c r="Q10" s="2">
        <v>30384</v>
      </c>
      <c r="R10">
        <v>2</v>
      </c>
    </row>
    <row r="11" spans="1:18" x14ac:dyDescent="0.25">
      <c r="A11" t="s">
        <v>898</v>
      </c>
      <c r="B11" s="1">
        <v>45635</v>
      </c>
      <c r="C11" t="s">
        <v>82</v>
      </c>
      <c r="D11" t="s">
        <v>83</v>
      </c>
      <c r="E11" t="s">
        <v>51</v>
      </c>
      <c r="F11" t="s">
        <v>23</v>
      </c>
      <c r="G11" t="s">
        <v>44</v>
      </c>
      <c r="H11" t="s">
        <v>45</v>
      </c>
      <c r="I11" t="s">
        <v>103</v>
      </c>
      <c r="J11" t="s">
        <v>36</v>
      </c>
      <c r="K11">
        <v>2</v>
      </c>
      <c r="L11" s="2">
        <v>8180</v>
      </c>
      <c r="M11" s="2">
        <f>Table1[[#This Row],[Cost_Price]]*Table1[[#This Row],[Quantity_Sold]]</f>
        <v>16360</v>
      </c>
      <c r="N11" s="2">
        <v>13636</v>
      </c>
      <c r="O11" s="5">
        <v>0.1</v>
      </c>
      <c r="P11" s="2">
        <v>27272</v>
      </c>
      <c r="Q11" s="2">
        <v>10912</v>
      </c>
      <c r="R11">
        <v>2</v>
      </c>
    </row>
    <row r="12" spans="1:18" x14ac:dyDescent="0.25">
      <c r="A12" t="s">
        <v>646</v>
      </c>
      <c r="B12" s="1">
        <v>45740</v>
      </c>
      <c r="C12" t="s">
        <v>87</v>
      </c>
      <c r="D12" t="s">
        <v>88</v>
      </c>
      <c r="E12" t="s">
        <v>33</v>
      </c>
      <c r="F12" t="s">
        <v>42</v>
      </c>
      <c r="G12" t="s">
        <v>25</v>
      </c>
      <c r="H12" t="s">
        <v>35</v>
      </c>
      <c r="I12" t="s">
        <v>103</v>
      </c>
      <c r="J12" t="s">
        <v>36</v>
      </c>
      <c r="K12">
        <v>8</v>
      </c>
      <c r="L12" s="2">
        <v>5153</v>
      </c>
      <c r="M12" s="2">
        <f>Table1[[#This Row],[Cost_Price]]*Table1[[#This Row],[Quantity_Sold]]</f>
        <v>41224</v>
      </c>
      <c r="N12" s="2">
        <v>10367</v>
      </c>
      <c r="O12" s="5">
        <v>0.1</v>
      </c>
      <c r="P12" s="2">
        <v>82936</v>
      </c>
      <c r="Q12" s="2">
        <v>41712</v>
      </c>
      <c r="R12">
        <v>4</v>
      </c>
    </row>
    <row r="13" spans="1:18" x14ac:dyDescent="0.25">
      <c r="A13" t="s">
        <v>192</v>
      </c>
      <c r="B13" s="1">
        <v>45377</v>
      </c>
      <c r="C13" t="s">
        <v>20</v>
      </c>
      <c r="D13" t="s">
        <v>1107</v>
      </c>
      <c r="E13" t="s">
        <v>22</v>
      </c>
      <c r="F13" t="s">
        <v>92</v>
      </c>
      <c r="G13" t="s">
        <v>25</v>
      </c>
      <c r="H13" t="s">
        <v>45</v>
      </c>
      <c r="I13" t="s">
        <v>58</v>
      </c>
      <c r="J13" t="s">
        <v>54</v>
      </c>
      <c r="K13">
        <v>4</v>
      </c>
      <c r="L13" s="2">
        <v>8734</v>
      </c>
      <c r="M13" s="2">
        <f>Table1[[#This Row],[Cost_Price]]*Table1[[#This Row],[Quantity_Sold]]</f>
        <v>34936</v>
      </c>
      <c r="N13" s="2">
        <v>11969</v>
      </c>
      <c r="O13" s="5">
        <v>0.02</v>
      </c>
      <c r="P13" s="2">
        <v>47876</v>
      </c>
      <c r="Q13" s="2">
        <v>12940</v>
      </c>
      <c r="R13">
        <v>3</v>
      </c>
    </row>
    <row r="14" spans="1:18" x14ac:dyDescent="0.25">
      <c r="A14" t="s">
        <v>1003</v>
      </c>
      <c r="B14" s="1">
        <v>45393</v>
      </c>
      <c r="C14" t="s">
        <v>96</v>
      </c>
      <c r="D14" t="s">
        <v>97</v>
      </c>
      <c r="E14" t="s">
        <v>51</v>
      </c>
      <c r="F14" t="s">
        <v>98</v>
      </c>
      <c r="G14" t="s">
        <v>44</v>
      </c>
      <c r="H14" t="s">
        <v>26</v>
      </c>
      <c r="I14" t="s">
        <v>103</v>
      </c>
      <c r="J14" t="s">
        <v>59</v>
      </c>
      <c r="K14">
        <v>7</v>
      </c>
      <c r="L14" s="2">
        <v>12972</v>
      </c>
      <c r="M14" s="2">
        <f>Table1[[#This Row],[Cost_Price]]*Table1[[#This Row],[Quantity_Sold]]</f>
        <v>90804</v>
      </c>
      <c r="N14" s="2">
        <v>19485</v>
      </c>
      <c r="O14" s="5">
        <v>0.1</v>
      </c>
      <c r="P14" s="2">
        <v>136395</v>
      </c>
      <c r="Q14" s="2">
        <v>45591</v>
      </c>
      <c r="R14">
        <v>5</v>
      </c>
    </row>
    <row r="15" spans="1:18" x14ac:dyDescent="0.25">
      <c r="A15" t="s">
        <v>372</v>
      </c>
      <c r="B15" s="1">
        <v>45569</v>
      </c>
      <c r="C15" t="s">
        <v>31</v>
      </c>
      <c r="D15" t="s">
        <v>32</v>
      </c>
      <c r="E15" t="s">
        <v>33</v>
      </c>
      <c r="F15" t="s">
        <v>42</v>
      </c>
      <c r="G15" t="s">
        <v>44</v>
      </c>
      <c r="H15" t="s">
        <v>26</v>
      </c>
      <c r="I15" t="s">
        <v>103</v>
      </c>
      <c r="J15" t="s">
        <v>59</v>
      </c>
      <c r="K15">
        <v>5</v>
      </c>
      <c r="L15" s="2">
        <v>13456</v>
      </c>
      <c r="M15" s="2">
        <f>Table1[[#This Row],[Cost_Price]]*Table1[[#This Row],[Quantity_Sold]]</f>
        <v>67280</v>
      </c>
      <c r="N15" s="2">
        <v>15503</v>
      </c>
      <c r="O15" s="5">
        <v>0.1</v>
      </c>
      <c r="P15" s="2">
        <v>77515</v>
      </c>
      <c r="Q15" s="2">
        <v>10235</v>
      </c>
      <c r="R15">
        <v>5</v>
      </c>
    </row>
    <row r="16" spans="1:18" x14ac:dyDescent="0.25">
      <c r="A16" t="s">
        <v>60</v>
      </c>
      <c r="B16" s="1">
        <v>45522</v>
      </c>
      <c r="C16" t="s">
        <v>106</v>
      </c>
      <c r="D16" t="s">
        <v>107</v>
      </c>
      <c r="E16" t="s">
        <v>41</v>
      </c>
      <c r="F16" t="s">
        <v>92</v>
      </c>
      <c r="G16" t="s">
        <v>25</v>
      </c>
      <c r="H16" t="s">
        <v>45</v>
      </c>
      <c r="I16" t="s">
        <v>103</v>
      </c>
      <c r="J16" t="s">
        <v>28</v>
      </c>
      <c r="K16">
        <v>1</v>
      </c>
      <c r="L16" s="2">
        <v>11846</v>
      </c>
      <c r="M16" s="2">
        <f>Table1[[#This Row],[Cost_Price]]*Table1[[#This Row],[Quantity_Sold]]</f>
        <v>11846</v>
      </c>
      <c r="N16" s="2">
        <v>18129</v>
      </c>
      <c r="O16" s="5">
        <v>0.04</v>
      </c>
      <c r="P16" s="2">
        <v>18129</v>
      </c>
      <c r="Q16" s="2">
        <v>6283</v>
      </c>
      <c r="R16">
        <v>3</v>
      </c>
    </row>
    <row r="17" spans="1:18" x14ac:dyDescent="0.25">
      <c r="A17" t="s">
        <v>390</v>
      </c>
      <c r="B17" s="1">
        <v>45730</v>
      </c>
      <c r="C17" t="s">
        <v>62</v>
      </c>
      <c r="D17" t="s">
        <v>63</v>
      </c>
      <c r="E17" t="s">
        <v>64</v>
      </c>
      <c r="F17" t="s">
        <v>1110</v>
      </c>
      <c r="G17" t="s">
        <v>25</v>
      </c>
      <c r="H17" t="s">
        <v>35</v>
      </c>
      <c r="I17" t="s">
        <v>27</v>
      </c>
      <c r="J17" t="s">
        <v>54</v>
      </c>
      <c r="K17">
        <v>4</v>
      </c>
      <c r="L17" s="2">
        <v>8422</v>
      </c>
      <c r="M17" s="2">
        <f>Table1[[#This Row],[Cost_Price]]*Table1[[#This Row],[Quantity_Sold]]</f>
        <v>33688</v>
      </c>
      <c r="N17" s="2">
        <v>9879</v>
      </c>
      <c r="O17" s="5">
        <v>0.02</v>
      </c>
      <c r="P17" s="2">
        <v>39516</v>
      </c>
      <c r="Q17" s="2">
        <v>5828</v>
      </c>
      <c r="R17">
        <v>5</v>
      </c>
    </row>
    <row r="18" spans="1:18" x14ac:dyDescent="0.25">
      <c r="A18" t="s">
        <v>1111</v>
      </c>
      <c r="B18" s="1">
        <v>45710</v>
      </c>
      <c r="C18" t="s">
        <v>62</v>
      </c>
      <c r="D18" t="s">
        <v>63</v>
      </c>
      <c r="E18" t="s">
        <v>64</v>
      </c>
      <c r="F18" t="s">
        <v>23</v>
      </c>
      <c r="G18" t="s">
        <v>44</v>
      </c>
      <c r="H18" t="s">
        <v>26</v>
      </c>
      <c r="I18" t="s">
        <v>58</v>
      </c>
      <c r="J18" t="s">
        <v>54</v>
      </c>
      <c r="K18">
        <v>2</v>
      </c>
      <c r="L18" s="2">
        <v>6301</v>
      </c>
      <c r="M18" s="2">
        <f>Table1[[#This Row],[Cost_Price]]*Table1[[#This Row],[Quantity_Sold]]</f>
        <v>12602</v>
      </c>
      <c r="N18" s="2">
        <v>11672</v>
      </c>
      <c r="O18" s="5">
        <v>0.05</v>
      </c>
      <c r="P18" s="2">
        <v>23344</v>
      </c>
      <c r="Q18" s="2">
        <v>10742</v>
      </c>
      <c r="R18">
        <v>5</v>
      </c>
    </row>
    <row r="19" spans="1:18" x14ac:dyDescent="0.25">
      <c r="A19" t="s">
        <v>1112</v>
      </c>
      <c r="B19" s="1">
        <v>45440</v>
      </c>
      <c r="C19" t="s">
        <v>117</v>
      </c>
      <c r="D19" t="s">
        <v>118</v>
      </c>
      <c r="E19" t="s">
        <v>41</v>
      </c>
      <c r="F19" t="s">
        <v>23</v>
      </c>
      <c r="G19" t="s">
        <v>44</v>
      </c>
      <c r="H19" t="s">
        <v>35</v>
      </c>
      <c r="I19" t="s">
        <v>120</v>
      </c>
      <c r="J19" t="s">
        <v>36</v>
      </c>
      <c r="K19">
        <v>3</v>
      </c>
      <c r="L19" s="2">
        <v>2328</v>
      </c>
      <c r="M19" s="2">
        <f>Table1[[#This Row],[Cost_Price]]*Table1[[#This Row],[Quantity_Sold]]</f>
        <v>6984</v>
      </c>
      <c r="N19" s="2">
        <v>8312</v>
      </c>
      <c r="O19" s="5">
        <v>0.04</v>
      </c>
      <c r="P19" s="2">
        <v>24936</v>
      </c>
      <c r="Q19" s="2">
        <v>17952</v>
      </c>
      <c r="R19">
        <v>2</v>
      </c>
    </row>
    <row r="20" spans="1:18" x14ac:dyDescent="0.25">
      <c r="A20" t="s">
        <v>763</v>
      </c>
      <c r="B20" s="1">
        <v>45316</v>
      </c>
      <c r="C20" t="s">
        <v>117</v>
      </c>
      <c r="D20" t="s">
        <v>118</v>
      </c>
      <c r="E20" t="s">
        <v>41</v>
      </c>
      <c r="F20" t="s">
        <v>98</v>
      </c>
      <c r="G20" t="s">
        <v>44</v>
      </c>
      <c r="H20" t="s">
        <v>26</v>
      </c>
      <c r="I20" t="s">
        <v>27</v>
      </c>
      <c r="J20" t="s">
        <v>28</v>
      </c>
      <c r="K20">
        <v>4</v>
      </c>
      <c r="L20" s="2">
        <v>14129</v>
      </c>
      <c r="M20" s="2">
        <f>Table1[[#This Row],[Cost_Price]]*Table1[[#This Row],[Quantity_Sold]]</f>
        <v>56516</v>
      </c>
      <c r="N20" s="2">
        <v>20076</v>
      </c>
      <c r="O20" s="5">
        <v>0.02</v>
      </c>
      <c r="P20" s="2">
        <v>80304</v>
      </c>
      <c r="Q20" s="2">
        <v>23788</v>
      </c>
      <c r="R20">
        <v>4</v>
      </c>
    </row>
    <row r="21" spans="1:18" x14ac:dyDescent="0.25">
      <c r="A21" t="s">
        <v>675</v>
      </c>
      <c r="B21" s="1">
        <v>45509</v>
      </c>
      <c r="C21" t="s">
        <v>20</v>
      </c>
      <c r="D21" t="s">
        <v>1107</v>
      </c>
      <c r="E21" t="s">
        <v>22</v>
      </c>
      <c r="F21" t="s">
        <v>98</v>
      </c>
      <c r="G21" t="s">
        <v>25</v>
      </c>
      <c r="H21" t="s">
        <v>45</v>
      </c>
      <c r="I21" t="s">
        <v>58</v>
      </c>
      <c r="J21" t="s">
        <v>28</v>
      </c>
      <c r="K21">
        <v>4</v>
      </c>
      <c r="L21" s="2">
        <v>9490</v>
      </c>
      <c r="M21" s="2">
        <f>Table1[[#This Row],[Cost_Price]]*Table1[[#This Row],[Quantity_Sold]]</f>
        <v>37960</v>
      </c>
      <c r="N21" s="2">
        <v>15157</v>
      </c>
      <c r="O21" s="5">
        <v>0.1</v>
      </c>
      <c r="P21" s="2">
        <v>60628</v>
      </c>
      <c r="Q21" s="2">
        <v>22668</v>
      </c>
      <c r="R21">
        <v>1</v>
      </c>
    </row>
    <row r="22" spans="1:18" x14ac:dyDescent="0.25">
      <c r="A22" t="s">
        <v>155</v>
      </c>
      <c r="B22" s="1">
        <v>45681</v>
      </c>
      <c r="C22" t="s">
        <v>20</v>
      </c>
      <c r="D22" t="s">
        <v>1107</v>
      </c>
      <c r="E22" t="s">
        <v>22</v>
      </c>
      <c r="F22" t="s">
        <v>92</v>
      </c>
      <c r="G22" t="s">
        <v>44</v>
      </c>
      <c r="H22" t="s">
        <v>45</v>
      </c>
      <c r="I22" t="s">
        <v>103</v>
      </c>
      <c r="J22" t="s">
        <v>54</v>
      </c>
      <c r="K22">
        <v>8</v>
      </c>
      <c r="L22" s="2">
        <v>7273</v>
      </c>
      <c r="M22" s="2">
        <f>Table1[[#This Row],[Cost_Price]]*Table1[[#This Row],[Quantity_Sold]]</f>
        <v>58184</v>
      </c>
      <c r="N22" s="2">
        <v>9493</v>
      </c>
      <c r="O22" s="5">
        <v>0.04</v>
      </c>
      <c r="P22" s="2">
        <v>75944</v>
      </c>
      <c r="Q22" s="2">
        <v>17760</v>
      </c>
      <c r="R22">
        <v>2</v>
      </c>
    </row>
    <row r="23" spans="1:18" x14ac:dyDescent="0.25">
      <c r="A23" t="s">
        <v>447</v>
      </c>
      <c r="B23" s="1">
        <v>45312</v>
      </c>
      <c r="C23" t="s">
        <v>131</v>
      </c>
      <c r="D23" t="s">
        <v>132</v>
      </c>
      <c r="E23" t="s">
        <v>64</v>
      </c>
      <c r="F23" t="s">
        <v>73</v>
      </c>
      <c r="G23" t="s">
        <v>25</v>
      </c>
      <c r="H23" t="s">
        <v>26</v>
      </c>
      <c r="I23" t="s">
        <v>27</v>
      </c>
      <c r="J23" t="s">
        <v>28</v>
      </c>
      <c r="K23">
        <v>6</v>
      </c>
      <c r="L23" s="2">
        <v>1818</v>
      </c>
      <c r="M23" s="2">
        <f>Table1[[#This Row],[Cost_Price]]*Table1[[#This Row],[Quantity_Sold]]</f>
        <v>10908</v>
      </c>
      <c r="N23" s="2">
        <v>2683</v>
      </c>
      <c r="O23" s="5">
        <v>0.02</v>
      </c>
      <c r="P23" s="2">
        <v>16098</v>
      </c>
      <c r="Q23" s="2">
        <v>5190</v>
      </c>
      <c r="R23">
        <v>3</v>
      </c>
    </row>
    <row r="24" spans="1:18" x14ac:dyDescent="0.25">
      <c r="A24" t="s">
        <v>325</v>
      </c>
      <c r="B24" s="1">
        <v>45776</v>
      </c>
      <c r="C24" t="s">
        <v>96</v>
      </c>
      <c r="D24" t="s">
        <v>97</v>
      </c>
      <c r="E24" t="s">
        <v>51</v>
      </c>
      <c r="F24" t="s">
        <v>92</v>
      </c>
      <c r="G24" t="s">
        <v>25</v>
      </c>
      <c r="H24" t="s">
        <v>26</v>
      </c>
      <c r="I24" t="s">
        <v>103</v>
      </c>
      <c r="J24" t="s">
        <v>54</v>
      </c>
      <c r="K24">
        <v>1</v>
      </c>
      <c r="L24" s="2">
        <v>10294</v>
      </c>
      <c r="M24" s="2">
        <f>Table1[[#This Row],[Cost_Price]]*Table1[[#This Row],[Quantity_Sold]]</f>
        <v>10294</v>
      </c>
      <c r="N24" s="2">
        <v>14993</v>
      </c>
      <c r="O24" s="5">
        <v>0.04</v>
      </c>
      <c r="P24" s="2">
        <v>14993</v>
      </c>
      <c r="Q24" s="2">
        <v>4699</v>
      </c>
      <c r="R24">
        <v>5</v>
      </c>
    </row>
    <row r="25" spans="1:18" x14ac:dyDescent="0.25">
      <c r="A25" t="s">
        <v>765</v>
      </c>
      <c r="B25" s="1">
        <v>45575</v>
      </c>
      <c r="C25" t="s">
        <v>49</v>
      </c>
      <c r="D25" t="s">
        <v>83</v>
      </c>
      <c r="E25" t="s">
        <v>51</v>
      </c>
      <c r="F25" t="s">
        <v>1110</v>
      </c>
      <c r="G25" t="s">
        <v>44</v>
      </c>
      <c r="H25" t="s">
        <v>26</v>
      </c>
      <c r="I25" t="s">
        <v>103</v>
      </c>
      <c r="J25" t="s">
        <v>36</v>
      </c>
      <c r="K25">
        <v>3</v>
      </c>
      <c r="L25" s="2">
        <v>14088</v>
      </c>
      <c r="M25" s="2">
        <f>Table1[[#This Row],[Cost_Price]]*Table1[[#This Row],[Quantity_Sold]]</f>
        <v>42264</v>
      </c>
      <c r="N25" s="2">
        <v>19941</v>
      </c>
      <c r="O25" s="5">
        <v>0.1</v>
      </c>
      <c r="P25" s="2">
        <v>59823</v>
      </c>
      <c r="Q25" s="2">
        <v>17559</v>
      </c>
      <c r="R25" s="3" t="s">
        <v>1110</v>
      </c>
    </row>
    <row r="26" spans="1:18" x14ac:dyDescent="0.25">
      <c r="A26" t="s">
        <v>378</v>
      </c>
      <c r="B26" s="1">
        <v>45308</v>
      </c>
      <c r="C26" t="s">
        <v>141</v>
      </c>
      <c r="D26" t="s">
        <v>142</v>
      </c>
      <c r="E26" t="s">
        <v>51</v>
      </c>
      <c r="F26" t="s">
        <v>98</v>
      </c>
      <c r="G26" t="s">
        <v>25</v>
      </c>
      <c r="H26" t="s">
        <v>45</v>
      </c>
      <c r="I26" t="s">
        <v>103</v>
      </c>
      <c r="J26" t="s">
        <v>28</v>
      </c>
      <c r="K26">
        <v>6</v>
      </c>
      <c r="L26" s="2">
        <v>14958</v>
      </c>
      <c r="M26" s="2">
        <f>Table1[[#This Row],[Cost_Price]]*Table1[[#This Row],[Quantity_Sold]]</f>
        <v>89748</v>
      </c>
      <c r="N26" s="2">
        <v>16291</v>
      </c>
      <c r="O26" s="5">
        <v>0.1</v>
      </c>
      <c r="P26" s="2">
        <v>97746</v>
      </c>
      <c r="Q26" s="2">
        <v>7998</v>
      </c>
      <c r="R26">
        <v>2</v>
      </c>
    </row>
    <row r="27" spans="1:18" x14ac:dyDescent="0.25">
      <c r="A27" t="s">
        <v>567</v>
      </c>
      <c r="B27" s="1">
        <v>45434</v>
      </c>
      <c r="C27" t="s">
        <v>77</v>
      </c>
      <c r="D27" t="s">
        <v>78</v>
      </c>
      <c r="E27" t="s">
        <v>64</v>
      </c>
      <c r="F27" t="s">
        <v>23</v>
      </c>
      <c r="G27" t="s">
        <v>44</v>
      </c>
      <c r="H27" t="s">
        <v>45</v>
      </c>
      <c r="I27" t="s">
        <v>103</v>
      </c>
      <c r="J27" t="s">
        <v>54</v>
      </c>
      <c r="K27">
        <v>2</v>
      </c>
      <c r="L27" s="2">
        <v>1514</v>
      </c>
      <c r="M27" s="2">
        <f>Table1[[#This Row],[Cost_Price]]*Table1[[#This Row],[Quantity_Sold]]</f>
        <v>3028</v>
      </c>
      <c r="N27" s="2">
        <v>9203</v>
      </c>
      <c r="O27" s="5">
        <v>0.1</v>
      </c>
      <c r="P27" s="2">
        <v>18406</v>
      </c>
      <c r="Q27" s="2">
        <v>15378</v>
      </c>
      <c r="R27">
        <v>4</v>
      </c>
    </row>
    <row r="28" spans="1:18" x14ac:dyDescent="0.25">
      <c r="A28" t="s">
        <v>955</v>
      </c>
      <c r="B28" s="1">
        <v>45507</v>
      </c>
      <c r="C28" t="s">
        <v>149</v>
      </c>
      <c r="D28" t="s">
        <v>150</v>
      </c>
      <c r="E28" t="s">
        <v>51</v>
      </c>
      <c r="F28" t="s">
        <v>1110</v>
      </c>
      <c r="G28" t="s">
        <v>25</v>
      </c>
      <c r="H28" t="s">
        <v>26</v>
      </c>
      <c r="I28" t="s">
        <v>103</v>
      </c>
      <c r="J28" t="s">
        <v>28</v>
      </c>
      <c r="K28">
        <v>1</v>
      </c>
      <c r="L28" s="2">
        <v>14004</v>
      </c>
      <c r="M28" s="2">
        <f>Table1[[#This Row],[Cost_Price]]*Table1[[#This Row],[Quantity_Sold]]</f>
        <v>14004</v>
      </c>
      <c r="N28" s="2">
        <v>15696</v>
      </c>
      <c r="O28" s="5">
        <v>0.04</v>
      </c>
      <c r="P28" s="2">
        <v>15696</v>
      </c>
      <c r="Q28" s="2">
        <v>1692</v>
      </c>
      <c r="R28">
        <v>4</v>
      </c>
    </row>
    <row r="29" spans="1:18" x14ac:dyDescent="0.25">
      <c r="A29" t="s">
        <v>227</v>
      </c>
      <c r="B29" s="1">
        <v>45593</v>
      </c>
      <c r="C29" t="s">
        <v>39</v>
      </c>
      <c r="D29" t="s">
        <v>1108</v>
      </c>
      <c r="E29" t="s">
        <v>41</v>
      </c>
      <c r="F29" t="s">
        <v>73</v>
      </c>
      <c r="G29" t="s">
        <v>25</v>
      </c>
      <c r="H29" t="s">
        <v>35</v>
      </c>
      <c r="I29" t="s">
        <v>103</v>
      </c>
      <c r="J29" t="s">
        <v>36</v>
      </c>
      <c r="K29">
        <v>2</v>
      </c>
      <c r="L29" s="2">
        <v>6906</v>
      </c>
      <c r="M29" s="2">
        <f>Table1[[#This Row],[Cost_Price]]*Table1[[#This Row],[Quantity_Sold]]</f>
        <v>13812</v>
      </c>
      <c r="N29" s="2">
        <v>11708</v>
      </c>
      <c r="O29" s="5">
        <v>0.05</v>
      </c>
      <c r="P29" s="2">
        <v>23416</v>
      </c>
      <c r="Q29" s="2">
        <v>9604</v>
      </c>
      <c r="R29">
        <v>1</v>
      </c>
    </row>
    <row r="30" spans="1:18" x14ac:dyDescent="0.25">
      <c r="A30" t="s">
        <v>47</v>
      </c>
      <c r="B30" s="1">
        <v>45506</v>
      </c>
      <c r="C30" t="s">
        <v>149</v>
      </c>
      <c r="D30" t="s">
        <v>150</v>
      </c>
      <c r="E30" t="s">
        <v>51</v>
      </c>
      <c r="F30" t="s">
        <v>23</v>
      </c>
      <c r="G30" t="s">
        <v>44</v>
      </c>
      <c r="H30" t="s">
        <v>45</v>
      </c>
      <c r="I30" t="s">
        <v>103</v>
      </c>
      <c r="J30" t="s">
        <v>59</v>
      </c>
      <c r="K30">
        <v>3</v>
      </c>
      <c r="L30" s="2">
        <v>10224</v>
      </c>
      <c r="M30" s="2">
        <f>Table1[[#This Row],[Cost_Price]]*Table1[[#This Row],[Quantity_Sold]]</f>
        <v>30672</v>
      </c>
      <c r="N30" s="2">
        <v>12730</v>
      </c>
      <c r="O30" s="5">
        <v>0</v>
      </c>
      <c r="P30" s="2">
        <v>38190</v>
      </c>
      <c r="Q30" s="2">
        <v>7518</v>
      </c>
      <c r="R30">
        <v>3</v>
      </c>
    </row>
    <row r="31" spans="1:18" x14ac:dyDescent="0.25">
      <c r="A31" t="s">
        <v>469</v>
      </c>
      <c r="B31" s="1">
        <v>45558</v>
      </c>
      <c r="C31" t="s">
        <v>77</v>
      </c>
      <c r="D31" t="s">
        <v>78</v>
      </c>
      <c r="E31" t="s">
        <v>64</v>
      </c>
      <c r="F31" t="s">
        <v>42</v>
      </c>
      <c r="G31" t="s">
        <v>25</v>
      </c>
      <c r="H31" t="s">
        <v>26</v>
      </c>
      <c r="I31" t="s">
        <v>120</v>
      </c>
      <c r="J31" t="s">
        <v>28</v>
      </c>
      <c r="K31">
        <v>8</v>
      </c>
      <c r="L31" s="2">
        <v>10339</v>
      </c>
      <c r="M31" s="2">
        <f>Table1[[#This Row],[Cost_Price]]*Table1[[#This Row],[Quantity_Sold]]</f>
        <v>82712</v>
      </c>
      <c r="N31" s="2">
        <v>11559</v>
      </c>
      <c r="O31" s="5">
        <v>0.04</v>
      </c>
      <c r="P31" s="2">
        <v>92472</v>
      </c>
      <c r="Q31" s="2">
        <v>9760</v>
      </c>
      <c r="R31">
        <v>5</v>
      </c>
    </row>
    <row r="32" spans="1:18" x14ac:dyDescent="0.25">
      <c r="A32" t="s">
        <v>842</v>
      </c>
      <c r="B32" s="1">
        <v>45610</v>
      </c>
      <c r="C32" t="s">
        <v>96</v>
      </c>
      <c r="D32" t="s">
        <v>97</v>
      </c>
      <c r="E32" t="s">
        <v>51</v>
      </c>
      <c r="F32" t="s">
        <v>1110</v>
      </c>
      <c r="G32" t="s">
        <v>25</v>
      </c>
      <c r="H32" t="s">
        <v>35</v>
      </c>
      <c r="I32" t="s">
        <v>103</v>
      </c>
      <c r="J32" t="s">
        <v>28</v>
      </c>
      <c r="K32">
        <v>6</v>
      </c>
      <c r="L32" s="2">
        <v>5400</v>
      </c>
      <c r="M32" s="2">
        <f>Table1[[#This Row],[Cost_Price]]*Table1[[#This Row],[Quantity_Sold]]</f>
        <v>32400</v>
      </c>
      <c r="N32" s="2">
        <v>13318</v>
      </c>
      <c r="O32" s="5">
        <v>0.05</v>
      </c>
      <c r="P32" s="2">
        <v>79908</v>
      </c>
      <c r="Q32" s="2">
        <v>47508</v>
      </c>
      <c r="R32">
        <v>3</v>
      </c>
    </row>
    <row r="33" spans="1:18" x14ac:dyDescent="0.25">
      <c r="A33" t="s">
        <v>1113</v>
      </c>
      <c r="B33" s="1">
        <v>45418</v>
      </c>
      <c r="C33" t="s">
        <v>82</v>
      </c>
      <c r="D33" t="s">
        <v>83</v>
      </c>
      <c r="E33" t="s">
        <v>51</v>
      </c>
      <c r="F33" t="s">
        <v>23</v>
      </c>
      <c r="G33" t="s">
        <v>25</v>
      </c>
      <c r="H33" t="s">
        <v>45</v>
      </c>
      <c r="I33" t="s">
        <v>120</v>
      </c>
      <c r="J33" t="s">
        <v>59</v>
      </c>
      <c r="K33">
        <v>8</v>
      </c>
      <c r="L33" s="2">
        <v>11327</v>
      </c>
      <c r="M33" s="2">
        <f>Table1[[#This Row],[Cost_Price]]*Table1[[#This Row],[Quantity_Sold]]</f>
        <v>90616</v>
      </c>
      <c r="N33" s="2">
        <v>18223</v>
      </c>
      <c r="O33" s="5">
        <v>0.05</v>
      </c>
      <c r="P33" s="2">
        <v>145784</v>
      </c>
      <c r="Q33" s="2">
        <v>55168</v>
      </c>
      <c r="R33">
        <v>1</v>
      </c>
    </row>
    <row r="34" spans="1:18" x14ac:dyDescent="0.25">
      <c r="A34" t="s">
        <v>253</v>
      </c>
      <c r="B34" s="1">
        <v>45634</v>
      </c>
      <c r="C34" t="s">
        <v>62</v>
      </c>
      <c r="D34" t="s">
        <v>63</v>
      </c>
      <c r="E34" t="s">
        <v>64</v>
      </c>
      <c r="F34" t="s">
        <v>98</v>
      </c>
      <c r="G34" t="s">
        <v>44</v>
      </c>
      <c r="H34" t="s">
        <v>45</v>
      </c>
      <c r="I34" t="s">
        <v>120</v>
      </c>
      <c r="J34" t="s">
        <v>36</v>
      </c>
      <c r="K34">
        <v>8</v>
      </c>
      <c r="L34" s="2">
        <v>13977</v>
      </c>
      <c r="M34" s="2">
        <f>Table1[[#This Row],[Cost_Price]]*Table1[[#This Row],[Quantity_Sold]]</f>
        <v>111816</v>
      </c>
      <c r="N34" s="2">
        <v>18293</v>
      </c>
      <c r="O34" s="5">
        <v>0</v>
      </c>
      <c r="P34" s="2">
        <v>146344</v>
      </c>
      <c r="Q34" s="2">
        <v>34528</v>
      </c>
      <c r="R34">
        <v>1</v>
      </c>
    </row>
    <row r="35" spans="1:18" x14ac:dyDescent="0.25">
      <c r="A35" t="s">
        <v>129</v>
      </c>
      <c r="B35" s="1">
        <v>45411</v>
      </c>
      <c r="C35" t="s">
        <v>39</v>
      </c>
      <c r="D35" t="s">
        <v>1108</v>
      </c>
      <c r="E35" t="s">
        <v>41</v>
      </c>
      <c r="F35" t="s">
        <v>1110</v>
      </c>
      <c r="G35" t="s">
        <v>44</v>
      </c>
      <c r="H35" t="s">
        <v>35</v>
      </c>
      <c r="I35" t="s">
        <v>103</v>
      </c>
      <c r="J35" t="s">
        <v>28</v>
      </c>
      <c r="K35">
        <v>4</v>
      </c>
      <c r="L35" s="2">
        <v>13112</v>
      </c>
      <c r="M35" s="2">
        <f>Table1[[#This Row],[Cost_Price]]*Table1[[#This Row],[Quantity_Sold]]</f>
        <v>52448</v>
      </c>
      <c r="N35" s="2">
        <v>13922</v>
      </c>
      <c r="O35" s="5">
        <v>0.02</v>
      </c>
      <c r="P35" s="2">
        <v>55688</v>
      </c>
      <c r="Q35" s="2">
        <v>3240</v>
      </c>
      <c r="R35">
        <v>4</v>
      </c>
    </row>
    <row r="36" spans="1:18" x14ac:dyDescent="0.25">
      <c r="A36" t="s">
        <v>911</v>
      </c>
      <c r="B36" s="1">
        <v>45799</v>
      </c>
      <c r="C36" t="s">
        <v>31</v>
      </c>
      <c r="D36" t="s">
        <v>32</v>
      </c>
      <c r="E36" t="s">
        <v>33</v>
      </c>
      <c r="F36" t="s">
        <v>98</v>
      </c>
      <c r="G36" t="s">
        <v>44</v>
      </c>
      <c r="H36" t="s">
        <v>26</v>
      </c>
      <c r="I36" t="s">
        <v>103</v>
      </c>
      <c r="J36" t="s">
        <v>28</v>
      </c>
      <c r="K36">
        <v>5</v>
      </c>
      <c r="L36" s="2">
        <v>3653</v>
      </c>
      <c r="M36" s="2">
        <f>Table1[[#This Row],[Cost_Price]]*Table1[[#This Row],[Quantity_Sold]]</f>
        <v>18265</v>
      </c>
      <c r="N36" s="2">
        <v>6965</v>
      </c>
      <c r="O36" s="5">
        <v>0.05</v>
      </c>
      <c r="P36" s="2">
        <v>34825</v>
      </c>
      <c r="Q36" s="2">
        <v>16560</v>
      </c>
      <c r="R36">
        <v>4</v>
      </c>
    </row>
    <row r="37" spans="1:18" x14ac:dyDescent="0.25">
      <c r="A37" t="s">
        <v>109</v>
      </c>
      <c r="B37" s="1">
        <v>45723</v>
      </c>
      <c r="C37" t="s">
        <v>39</v>
      </c>
      <c r="D37" t="s">
        <v>1108</v>
      </c>
      <c r="E37" t="s">
        <v>41</v>
      </c>
      <c r="F37" t="s">
        <v>92</v>
      </c>
      <c r="G37" t="s">
        <v>25</v>
      </c>
      <c r="H37" t="s">
        <v>26</v>
      </c>
      <c r="I37" t="s">
        <v>103</v>
      </c>
      <c r="J37" t="s">
        <v>36</v>
      </c>
      <c r="K37">
        <v>4</v>
      </c>
      <c r="L37" s="2">
        <v>1463</v>
      </c>
      <c r="M37" s="2">
        <f>Table1[[#This Row],[Cost_Price]]*Table1[[#This Row],[Quantity_Sold]]</f>
        <v>5852</v>
      </c>
      <c r="N37" s="2">
        <v>4907</v>
      </c>
      <c r="O37" s="5">
        <v>0.02</v>
      </c>
      <c r="P37" s="2">
        <v>19628</v>
      </c>
      <c r="Q37" s="2">
        <v>13776</v>
      </c>
      <c r="R37">
        <v>2</v>
      </c>
    </row>
    <row r="38" spans="1:18" x14ac:dyDescent="0.25">
      <c r="A38" t="s">
        <v>209</v>
      </c>
      <c r="B38" s="1">
        <v>45606</v>
      </c>
      <c r="C38" t="s">
        <v>106</v>
      </c>
      <c r="D38" t="s">
        <v>107</v>
      </c>
      <c r="E38" t="s">
        <v>41</v>
      </c>
      <c r="F38" t="s">
        <v>1110</v>
      </c>
      <c r="G38" t="s">
        <v>25</v>
      </c>
      <c r="H38" t="s">
        <v>35</v>
      </c>
      <c r="I38" t="s">
        <v>103</v>
      </c>
      <c r="J38" t="s">
        <v>28</v>
      </c>
      <c r="K38">
        <v>8</v>
      </c>
      <c r="L38" s="2">
        <v>4947</v>
      </c>
      <c r="M38" s="2">
        <f>Table1[[#This Row],[Cost_Price]]*Table1[[#This Row],[Quantity_Sold]]</f>
        <v>39576</v>
      </c>
      <c r="N38" s="2">
        <v>11572</v>
      </c>
      <c r="O38" s="5">
        <v>0.04</v>
      </c>
      <c r="P38" s="2">
        <v>92576</v>
      </c>
      <c r="Q38" s="2">
        <v>53000</v>
      </c>
      <c r="R38">
        <v>2</v>
      </c>
    </row>
    <row r="39" spans="1:18" x14ac:dyDescent="0.25">
      <c r="A39" t="s">
        <v>375</v>
      </c>
      <c r="B39" s="1">
        <v>45343</v>
      </c>
      <c r="C39" t="s">
        <v>49</v>
      </c>
      <c r="D39" t="s">
        <v>83</v>
      </c>
      <c r="E39" t="s">
        <v>51</v>
      </c>
      <c r="F39" t="s">
        <v>1110</v>
      </c>
      <c r="G39" t="s">
        <v>25</v>
      </c>
      <c r="H39" t="s">
        <v>26</v>
      </c>
      <c r="I39" t="s">
        <v>103</v>
      </c>
      <c r="J39" t="s">
        <v>36</v>
      </c>
      <c r="K39">
        <v>8</v>
      </c>
      <c r="L39" s="2">
        <v>14145</v>
      </c>
      <c r="M39" s="2">
        <f>Table1[[#This Row],[Cost_Price]]*Table1[[#This Row],[Quantity_Sold]]</f>
        <v>113160</v>
      </c>
      <c r="N39" s="2">
        <v>21828</v>
      </c>
      <c r="O39" s="5">
        <v>0</v>
      </c>
      <c r="P39" s="2">
        <v>174624</v>
      </c>
      <c r="Q39" s="2">
        <v>61464</v>
      </c>
      <c r="R39">
        <v>3</v>
      </c>
    </row>
    <row r="40" spans="1:18" x14ac:dyDescent="0.25">
      <c r="A40" t="s">
        <v>55</v>
      </c>
      <c r="B40" s="1">
        <v>45375</v>
      </c>
      <c r="C40" t="s">
        <v>62</v>
      </c>
      <c r="D40" t="s">
        <v>63</v>
      </c>
      <c r="E40" t="s">
        <v>64</v>
      </c>
      <c r="F40" t="s">
        <v>73</v>
      </c>
      <c r="G40" t="s">
        <v>44</v>
      </c>
      <c r="H40" t="s">
        <v>35</v>
      </c>
      <c r="I40" t="s">
        <v>27</v>
      </c>
      <c r="J40" t="s">
        <v>28</v>
      </c>
      <c r="K40">
        <v>4</v>
      </c>
      <c r="L40" s="2">
        <v>6665</v>
      </c>
      <c r="M40" s="2">
        <f>Table1[[#This Row],[Cost_Price]]*Table1[[#This Row],[Quantity_Sold]]</f>
        <v>26660</v>
      </c>
      <c r="N40" s="2">
        <v>12111</v>
      </c>
      <c r="O40" s="5">
        <v>0</v>
      </c>
      <c r="P40" s="2">
        <v>48444</v>
      </c>
      <c r="Q40" s="2">
        <v>21784</v>
      </c>
      <c r="R40" s="3" t="s">
        <v>1110</v>
      </c>
    </row>
    <row r="41" spans="1:18" x14ac:dyDescent="0.25">
      <c r="A41" t="s">
        <v>333</v>
      </c>
      <c r="B41" s="1">
        <v>45501</v>
      </c>
      <c r="C41" t="s">
        <v>49</v>
      </c>
      <c r="D41" t="s">
        <v>83</v>
      </c>
      <c r="E41" t="s">
        <v>51</v>
      </c>
      <c r="F41" t="s">
        <v>98</v>
      </c>
      <c r="G41" t="s">
        <v>44</v>
      </c>
      <c r="H41" t="s">
        <v>45</v>
      </c>
      <c r="I41" t="s">
        <v>58</v>
      </c>
      <c r="J41" t="s">
        <v>28</v>
      </c>
      <c r="K41">
        <v>8</v>
      </c>
      <c r="L41" s="2">
        <v>9303</v>
      </c>
      <c r="M41" s="2">
        <f>Table1[[#This Row],[Cost_Price]]*Table1[[#This Row],[Quantity_Sold]]</f>
        <v>74424</v>
      </c>
      <c r="N41" s="2">
        <v>16713</v>
      </c>
      <c r="O41" s="5">
        <v>0.05</v>
      </c>
      <c r="P41" s="2">
        <v>133704</v>
      </c>
      <c r="Q41" s="2">
        <v>59280</v>
      </c>
      <c r="R41">
        <v>5</v>
      </c>
    </row>
    <row r="42" spans="1:18" x14ac:dyDescent="0.25">
      <c r="A42" t="s">
        <v>276</v>
      </c>
      <c r="B42" s="1">
        <v>45397</v>
      </c>
      <c r="C42" t="s">
        <v>82</v>
      </c>
      <c r="D42" t="s">
        <v>83</v>
      </c>
      <c r="E42" t="s">
        <v>51</v>
      </c>
      <c r="F42" t="s">
        <v>1110</v>
      </c>
      <c r="G42" t="s">
        <v>44</v>
      </c>
      <c r="H42" t="s">
        <v>45</v>
      </c>
      <c r="I42" t="s">
        <v>103</v>
      </c>
      <c r="J42" t="s">
        <v>59</v>
      </c>
      <c r="K42">
        <v>3</v>
      </c>
      <c r="L42" s="2">
        <v>10239</v>
      </c>
      <c r="M42" s="2">
        <f>Table1[[#This Row],[Cost_Price]]*Table1[[#This Row],[Quantity_Sold]]</f>
        <v>30717</v>
      </c>
      <c r="N42" s="2">
        <v>13735</v>
      </c>
      <c r="O42" s="5">
        <v>0.02</v>
      </c>
      <c r="P42" s="2">
        <v>41205</v>
      </c>
      <c r="Q42" s="2">
        <v>10488</v>
      </c>
      <c r="R42">
        <v>3</v>
      </c>
    </row>
    <row r="43" spans="1:18" x14ac:dyDescent="0.25">
      <c r="A43" t="s">
        <v>1114</v>
      </c>
      <c r="B43" s="1">
        <v>45321</v>
      </c>
      <c r="C43" t="s">
        <v>131</v>
      </c>
      <c r="D43" t="s">
        <v>132</v>
      </c>
      <c r="E43" t="s">
        <v>64</v>
      </c>
      <c r="F43" t="s">
        <v>92</v>
      </c>
      <c r="G43" t="s">
        <v>44</v>
      </c>
      <c r="H43" t="s">
        <v>45</v>
      </c>
      <c r="I43" t="s">
        <v>103</v>
      </c>
      <c r="J43" t="s">
        <v>36</v>
      </c>
      <c r="K43">
        <v>5</v>
      </c>
      <c r="L43" s="2">
        <v>2729</v>
      </c>
      <c r="M43" s="2">
        <f>Table1[[#This Row],[Cost_Price]]*Table1[[#This Row],[Quantity_Sold]]</f>
        <v>13645</v>
      </c>
      <c r="N43" s="2">
        <v>10615</v>
      </c>
      <c r="O43" s="5">
        <v>0.04</v>
      </c>
      <c r="P43" s="2">
        <v>53075</v>
      </c>
      <c r="Q43" s="2">
        <v>39430</v>
      </c>
      <c r="R43" s="3" t="s">
        <v>1110</v>
      </c>
    </row>
    <row r="44" spans="1:18" x14ac:dyDescent="0.25">
      <c r="A44" t="s">
        <v>317</v>
      </c>
      <c r="B44" s="1">
        <v>45643</v>
      </c>
      <c r="C44" t="s">
        <v>87</v>
      </c>
      <c r="D44" t="s">
        <v>88</v>
      </c>
      <c r="E44" t="s">
        <v>33</v>
      </c>
      <c r="F44" t="s">
        <v>92</v>
      </c>
      <c r="G44" t="s">
        <v>44</v>
      </c>
      <c r="H44" t="s">
        <v>35</v>
      </c>
      <c r="I44" t="s">
        <v>120</v>
      </c>
      <c r="J44" t="s">
        <v>54</v>
      </c>
      <c r="K44">
        <v>2</v>
      </c>
      <c r="L44" s="2">
        <v>9127</v>
      </c>
      <c r="M44" s="2">
        <f>Table1[[#This Row],[Cost_Price]]*Table1[[#This Row],[Quantity_Sold]]</f>
        <v>18254</v>
      </c>
      <c r="N44" s="2">
        <v>15035</v>
      </c>
      <c r="O44" s="5">
        <v>0.04</v>
      </c>
      <c r="P44" s="2">
        <v>30070</v>
      </c>
      <c r="Q44" s="2">
        <v>11816</v>
      </c>
      <c r="R44">
        <v>1</v>
      </c>
    </row>
    <row r="45" spans="1:18" x14ac:dyDescent="0.25">
      <c r="A45" t="s">
        <v>1115</v>
      </c>
      <c r="B45" s="1">
        <v>45387</v>
      </c>
      <c r="C45" t="s">
        <v>71</v>
      </c>
      <c r="D45" t="s">
        <v>72</v>
      </c>
      <c r="E45" t="s">
        <v>64</v>
      </c>
      <c r="F45" t="s">
        <v>1110</v>
      </c>
      <c r="G45" t="s">
        <v>25</v>
      </c>
      <c r="H45" t="s">
        <v>45</v>
      </c>
      <c r="I45" t="s">
        <v>27</v>
      </c>
      <c r="J45" t="s">
        <v>59</v>
      </c>
      <c r="K45">
        <v>4</v>
      </c>
      <c r="L45" s="2">
        <v>10622</v>
      </c>
      <c r="M45" s="2">
        <f>Table1[[#This Row],[Cost_Price]]*Table1[[#This Row],[Quantity_Sold]]</f>
        <v>42488</v>
      </c>
      <c r="N45" s="2">
        <v>17646</v>
      </c>
      <c r="O45" s="5">
        <v>0</v>
      </c>
      <c r="P45" s="2">
        <v>70584</v>
      </c>
      <c r="Q45" s="2">
        <v>28096</v>
      </c>
      <c r="R45" s="3" t="s">
        <v>1110</v>
      </c>
    </row>
    <row r="46" spans="1:18" x14ac:dyDescent="0.25">
      <c r="A46" t="s">
        <v>367</v>
      </c>
      <c r="B46" s="1">
        <v>45368</v>
      </c>
      <c r="C46" t="s">
        <v>82</v>
      </c>
      <c r="D46" t="s">
        <v>83</v>
      </c>
      <c r="E46" t="s">
        <v>51</v>
      </c>
      <c r="F46" t="s">
        <v>98</v>
      </c>
      <c r="G46" t="s">
        <v>44</v>
      </c>
      <c r="H46" t="s">
        <v>26</v>
      </c>
      <c r="I46" t="s">
        <v>103</v>
      </c>
      <c r="J46" t="s">
        <v>28</v>
      </c>
      <c r="K46">
        <v>4</v>
      </c>
      <c r="L46" s="2">
        <v>7272</v>
      </c>
      <c r="M46" s="2">
        <f>Table1[[#This Row],[Cost_Price]]*Table1[[#This Row],[Quantity_Sold]]</f>
        <v>29088</v>
      </c>
      <c r="N46" s="2">
        <v>9025</v>
      </c>
      <c r="O46" s="5">
        <v>0.04</v>
      </c>
      <c r="P46" s="2">
        <v>36100</v>
      </c>
      <c r="Q46" s="2">
        <v>7012</v>
      </c>
      <c r="R46">
        <v>5</v>
      </c>
    </row>
    <row r="47" spans="1:18" x14ac:dyDescent="0.25">
      <c r="A47" t="s">
        <v>526</v>
      </c>
      <c r="B47" s="1">
        <v>45802</v>
      </c>
      <c r="C47" t="s">
        <v>49</v>
      </c>
      <c r="D47" t="s">
        <v>83</v>
      </c>
      <c r="E47" t="s">
        <v>51</v>
      </c>
      <c r="F47" t="s">
        <v>92</v>
      </c>
      <c r="G47" t="s">
        <v>44</v>
      </c>
      <c r="H47" t="s">
        <v>45</v>
      </c>
      <c r="I47" t="s">
        <v>103</v>
      </c>
      <c r="J47" t="s">
        <v>28</v>
      </c>
      <c r="K47">
        <v>8</v>
      </c>
      <c r="L47" s="2">
        <v>13705</v>
      </c>
      <c r="M47" s="2">
        <f>Table1[[#This Row],[Cost_Price]]*Table1[[#This Row],[Quantity_Sold]]</f>
        <v>109640</v>
      </c>
      <c r="N47" s="2">
        <v>17137</v>
      </c>
      <c r="O47" s="5">
        <v>0</v>
      </c>
      <c r="P47" s="2">
        <v>137096</v>
      </c>
      <c r="Q47" s="2">
        <v>27456</v>
      </c>
      <c r="R47">
        <v>2</v>
      </c>
    </row>
    <row r="48" spans="1:18" x14ac:dyDescent="0.25">
      <c r="A48" t="s">
        <v>702</v>
      </c>
      <c r="B48" s="1">
        <v>45417</v>
      </c>
      <c r="C48" t="s">
        <v>87</v>
      </c>
      <c r="D48" t="s">
        <v>88</v>
      </c>
      <c r="E48" t="s">
        <v>33</v>
      </c>
      <c r="F48" t="s">
        <v>98</v>
      </c>
      <c r="G48" t="s">
        <v>25</v>
      </c>
      <c r="H48" t="s">
        <v>35</v>
      </c>
      <c r="I48" t="s">
        <v>58</v>
      </c>
      <c r="J48" t="s">
        <v>54</v>
      </c>
      <c r="K48">
        <v>1</v>
      </c>
      <c r="L48" s="2">
        <v>14634</v>
      </c>
      <c r="M48" s="2">
        <f>Table1[[#This Row],[Cost_Price]]*Table1[[#This Row],[Quantity_Sold]]</f>
        <v>14634</v>
      </c>
      <c r="N48" s="2">
        <v>17402</v>
      </c>
      <c r="O48" s="5">
        <v>0.04</v>
      </c>
      <c r="P48" s="2">
        <v>17402</v>
      </c>
      <c r="Q48" s="2">
        <v>2768</v>
      </c>
      <c r="R48" s="3" t="s">
        <v>1110</v>
      </c>
    </row>
    <row r="49" spans="1:18" x14ac:dyDescent="0.25">
      <c r="A49" t="s">
        <v>928</v>
      </c>
      <c r="B49" s="1">
        <v>45562</v>
      </c>
      <c r="C49" t="s">
        <v>141</v>
      </c>
      <c r="D49" t="s">
        <v>142</v>
      </c>
      <c r="E49" t="s">
        <v>51</v>
      </c>
      <c r="F49" t="s">
        <v>73</v>
      </c>
      <c r="G49" t="s">
        <v>25</v>
      </c>
      <c r="H49" t="s">
        <v>26</v>
      </c>
      <c r="I49" t="s">
        <v>103</v>
      </c>
      <c r="J49" t="s">
        <v>28</v>
      </c>
      <c r="K49">
        <v>1</v>
      </c>
      <c r="L49" s="2">
        <v>5749</v>
      </c>
      <c r="M49" s="2">
        <f>Table1[[#This Row],[Cost_Price]]*Table1[[#This Row],[Quantity_Sold]]</f>
        <v>5749</v>
      </c>
      <c r="N49" s="2">
        <v>10658</v>
      </c>
      <c r="O49" s="5">
        <v>0.05</v>
      </c>
      <c r="P49" s="2">
        <v>10658</v>
      </c>
      <c r="Q49" s="2">
        <v>4909</v>
      </c>
      <c r="R49">
        <v>2</v>
      </c>
    </row>
    <row r="50" spans="1:18" x14ac:dyDescent="0.25">
      <c r="A50" t="s">
        <v>147</v>
      </c>
      <c r="B50" s="1">
        <v>45823</v>
      </c>
      <c r="C50" t="s">
        <v>20</v>
      </c>
      <c r="D50" t="s">
        <v>1107</v>
      </c>
      <c r="E50" t="s">
        <v>22</v>
      </c>
      <c r="F50" t="s">
        <v>1110</v>
      </c>
      <c r="G50" t="s">
        <v>44</v>
      </c>
      <c r="H50" t="s">
        <v>26</v>
      </c>
      <c r="I50" t="s">
        <v>58</v>
      </c>
      <c r="J50" t="s">
        <v>59</v>
      </c>
      <c r="K50">
        <v>8</v>
      </c>
      <c r="L50" s="2">
        <v>7092</v>
      </c>
      <c r="M50" s="2">
        <f>Table1[[#This Row],[Cost_Price]]*Table1[[#This Row],[Quantity_Sold]]</f>
        <v>56736</v>
      </c>
      <c r="N50" s="2">
        <v>9340</v>
      </c>
      <c r="O50" s="5">
        <v>0</v>
      </c>
      <c r="P50" s="2">
        <v>74720</v>
      </c>
      <c r="Q50" s="2">
        <v>17984</v>
      </c>
      <c r="R50">
        <v>2</v>
      </c>
    </row>
    <row r="51" spans="1:18" x14ac:dyDescent="0.25">
      <c r="A51" t="s">
        <v>152</v>
      </c>
      <c r="B51" s="1">
        <v>45692</v>
      </c>
      <c r="C51" t="s">
        <v>216</v>
      </c>
      <c r="D51" t="s">
        <v>217</v>
      </c>
      <c r="E51" t="s">
        <v>33</v>
      </c>
      <c r="F51" t="s">
        <v>73</v>
      </c>
      <c r="G51" t="s">
        <v>44</v>
      </c>
      <c r="H51" t="s">
        <v>35</v>
      </c>
      <c r="I51" t="s">
        <v>103</v>
      </c>
      <c r="J51" t="s">
        <v>54</v>
      </c>
      <c r="K51">
        <v>2</v>
      </c>
      <c r="L51" s="2">
        <v>14111</v>
      </c>
      <c r="M51" s="2">
        <f>Table1[[#This Row],[Cost_Price]]*Table1[[#This Row],[Quantity_Sold]]</f>
        <v>28222</v>
      </c>
      <c r="N51" s="2">
        <v>16071</v>
      </c>
      <c r="O51" s="5">
        <v>0.1</v>
      </c>
      <c r="P51" s="2">
        <v>32142</v>
      </c>
      <c r="Q51" s="2">
        <v>3920</v>
      </c>
      <c r="R51">
        <v>1</v>
      </c>
    </row>
    <row r="52" spans="1:18" x14ac:dyDescent="0.25">
      <c r="A52" t="s">
        <v>579</v>
      </c>
      <c r="B52" s="1">
        <v>45370</v>
      </c>
      <c r="C52" t="s">
        <v>106</v>
      </c>
      <c r="D52" t="s">
        <v>107</v>
      </c>
      <c r="E52" t="s">
        <v>41</v>
      </c>
      <c r="F52" t="s">
        <v>92</v>
      </c>
      <c r="G52" t="s">
        <v>25</v>
      </c>
      <c r="H52" t="s">
        <v>45</v>
      </c>
      <c r="I52" t="s">
        <v>58</v>
      </c>
      <c r="J52" t="s">
        <v>36</v>
      </c>
      <c r="K52">
        <v>6</v>
      </c>
      <c r="L52" s="2">
        <v>12764</v>
      </c>
      <c r="M52" s="2">
        <f>Table1[[#This Row],[Cost_Price]]*Table1[[#This Row],[Quantity_Sold]]</f>
        <v>76584</v>
      </c>
      <c r="N52" s="2">
        <v>19047</v>
      </c>
      <c r="O52" s="5">
        <v>0.04</v>
      </c>
      <c r="P52" s="2">
        <v>114282</v>
      </c>
      <c r="Q52" s="2">
        <v>37698</v>
      </c>
      <c r="R52">
        <v>4</v>
      </c>
    </row>
    <row r="53" spans="1:18" x14ac:dyDescent="0.25">
      <c r="A53" t="s">
        <v>491</v>
      </c>
      <c r="B53" s="1">
        <v>45515</v>
      </c>
      <c r="C53" t="s">
        <v>77</v>
      </c>
      <c r="D53" t="s">
        <v>78</v>
      </c>
      <c r="E53" t="s">
        <v>64</v>
      </c>
      <c r="F53" t="s">
        <v>92</v>
      </c>
      <c r="G53" t="s">
        <v>25</v>
      </c>
      <c r="H53" t="s">
        <v>26</v>
      </c>
      <c r="I53" t="s">
        <v>103</v>
      </c>
      <c r="J53" t="s">
        <v>36</v>
      </c>
      <c r="K53">
        <v>3</v>
      </c>
      <c r="L53" s="2">
        <v>14260</v>
      </c>
      <c r="M53" s="2">
        <f>Table1[[#This Row],[Cost_Price]]*Table1[[#This Row],[Quantity_Sold]]</f>
        <v>42780</v>
      </c>
      <c r="N53" s="2">
        <v>15292</v>
      </c>
      <c r="O53" s="5">
        <v>0.02</v>
      </c>
      <c r="P53" s="2">
        <v>45876</v>
      </c>
      <c r="Q53" s="2">
        <v>3096</v>
      </c>
      <c r="R53">
        <v>5</v>
      </c>
    </row>
    <row r="54" spans="1:18" x14ac:dyDescent="0.25">
      <c r="A54" t="s">
        <v>800</v>
      </c>
      <c r="B54" s="1">
        <v>45749</v>
      </c>
      <c r="C54" t="s">
        <v>20</v>
      </c>
      <c r="D54" t="s">
        <v>1107</v>
      </c>
      <c r="E54" t="s">
        <v>22</v>
      </c>
      <c r="F54" t="s">
        <v>73</v>
      </c>
      <c r="G54" t="s">
        <v>44</v>
      </c>
      <c r="H54" t="s">
        <v>26</v>
      </c>
      <c r="I54" t="s">
        <v>103</v>
      </c>
      <c r="J54" t="s">
        <v>36</v>
      </c>
      <c r="K54">
        <v>5</v>
      </c>
      <c r="L54" s="2">
        <v>9431</v>
      </c>
      <c r="M54" s="2">
        <f>Table1[[#This Row],[Cost_Price]]*Table1[[#This Row],[Quantity_Sold]]</f>
        <v>47155</v>
      </c>
      <c r="N54" s="2">
        <v>10935</v>
      </c>
      <c r="O54" s="5">
        <v>0</v>
      </c>
      <c r="P54" s="2">
        <v>54675</v>
      </c>
      <c r="Q54" s="2">
        <v>7520</v>
      </c>
      <c r="R54">
        <v>4</v>
      </c>
    </row>
    <row r="55" spans="1:18" x14ac:dyDescent="0.25">
      <c r="A55" t="s">
        <v>978</v>
      </c>
      <c r="B55" s="1">
        <v>45496</v>
      </c>
      <c r="C55" t="s">
        <v>141</v>
      </c>
      <c r="D55" t="s">
        <v>142</v>
      </c>
      <c r="E55" t="s">
        <v>51</v>
      </c>
      <c r="F55" t="s">
        <v>23</v>
      </c>
      <c r="G55" t="s">
        <v>25</v>
      </c>
      <c r="H55" t="s">
        <v>26</v>
      </c>
      <c r="I55" t="s">
        <v>103</v>
      </c>
      <c r="J55" t="s">
        <v>54</v>
      </c>
      <c r="K55">
        <v>5</v>
      </c>
      <c r="L55" s="2">
        <v>4319</v>
      </c>
      <c r="M55" s="2">
        <f>Table1[[#This Row],[Cost_Price]]*Table1[[#This Row],[Quantity_Sold]]</f>
        <v>21595</v>
      </c>
      <c r="N55" s="2">
        <v>7297</v>
      </c>
      <c r="O55" s="5">
        <v>0</v>
      </c>
      <c r="P55" s="2">
        <v>36485</v>
      </c>
      <c r="Q55" s="2">
        <v>14890</v>
      </c>
      <c r="R55">
        <v>4</v>
      </c>
    </row>
    <row r="56" spans="1:18" x14ac:dyDescent="0.25">
      <c r="A56" t="s">
        <v>502</v>
      </c>
      <c r="B56" s="1">
        <v>45613</v>
      </c>
      <c r="C56" t="s">
        <v>62</v>
      </c>
      <c r="D56" t="s">
        <v>63</v>
      </c>
      <c r="E56" t="s">
        <v>64</v>
      </c>
      <c r="F56" t="s">
        <v>73</v>
      </c>
      <c r="G56" t="s">
        <v>25</v>
      </c>
      <c r="H56" t="s">
        <v>35</v>
      </c>
      <c r="I56" t="s">
        <v>103</v>
      </c>
      <c r="J56" t="s">
        <v>36</v>
      </c>
      <c r="K56">
        <v>4</v>
      </c>
      <c r="L56" s="2">
        <v>14158</v>
      </c>
      <c r="M56" s="2">
        <f>Table1[[#This Row],[Cost_Price]]*Table1[[#This Row],[Quantity_Sold]]</f>
        <v>56632</v>
      </c>
      <c r="N56" s="2">
        <v>15759</v>
      </c>
      <c r="O56" s="5">
        <v>0</v>
      </c>
      <c r="P56" s="2">
        <v>63036</v>
      </c>
      <c r="Q56" s="2">
        <v>6404</v>
      </c>
      <c r="R56">
        <v>4</v>
      </c>
    </row>
    <row r="57" spans="1:18" x14ac:dyDescent="0.25">
      <c r="A57" t="s">
        <v>477</v>
      </c>
      <c r="B57" s="1">
        <v>45483</v>
      </c>
      <c r="C57" t="s">
        <v>31</v>
      </c>
      <c r="D57" t="s">
        <v>32</v>
      </c>
      <c r="E57" t="s">
        <v>33</v>
      </c>
      <c r="F57" t="s">
        <v>92</v>
      </c>
      <c r="G57" t="s">
        <v>44</v>
      </c>
      <c r="H57" t="s">
        <v>35</v>
      </c>
      <c r="I57" t="s">
        <v>103</v>
      </c>
      <c r="J57" t="s">
        <v>36</v>
      </c>
      <c r="K57">
        <v>8</v>
      </c>
      <c r="L57" s="2">
        <v>11965</v>
      </c>
      <c r="M57" s="2">
        <f>Table1[[#This Row],[Cost_Price]]*Table1[[#This Row],[Quantity_Sold]]</f>
        <v>95720</v>
      </c>
      <c r="N57" s="2">
        <v>18639</v>
      </c>
      <c r="O57" s="5">
        <v>0</v>
      </c>
      <c r="P57" s="2">
        <v>149112</v>
      </c>
      <c r="Q57" s="2">
        <v>53392</v>
      </c>
      <c r="R57">
        <v>2</v>
      </c>
    </row>
    <row r="58" spans="1:18" x14ac:dyDescent="0.25">
      <c r="A58" t="s">
        <v>457</v>
      </c>
      <c r="B58" s="1">
        <v>45513</v>
      </c>
      <c r="C58" t="s">
        <v>87</v>
      </c>
      <c r="D58" t="s">
        <v>88</v>
      </c>
      <c r="E58" t="s">
        <v>33</v>
      </c>
      <c r="F58" t="s">
        <v>42</v>
      </c>
      <c r="G58" t="s">
        <v>25</v>
      </c>
      <c r="H58" t="s">
        <v>26</v>
      </c>
      <c r="I58" t="s">
        <v>120</v>
      </c>
      <c r="J58" t="s">
        <v>59</v>
      </c>
      <c r="K58">
        <v>6</v>
      </c>
      <c r="L58" s="2">
        <v>5848</v>
      </c>
      <c r="M58" s="2">
        <f>Table1[[#This Row],[Cost_Price]]*Table1[[#This Row],[Quantity_Sold]]</f>
        <v>35088</v>
      </c>
      <c r="N58" s="2">
        <v>8502</v>
      </c>
      <c r="O58" s="5">
        <v>0</v>
      </c>
      <c r="P58" s="2">
        <v>51012</v>
      </c>
      <c r="Q58" s="2">
        <v>15924</v>
      </c>
      <c r="R58" s="3" t="s">
        <v>1110</v>
      </c>
    </row>
    <row r="59" spans="1:18" x14ac:dyDescent="0.25">
      <c r="A59" t="s">
        <v>76</v>
      </c>
      <c r="B59" s="1">
        <v>45763</v>
      </c>
      <c r="C59" t="s">
        <v>241</v>
      </c>
      <c r="D59" t="s">
        <v>1109</v>
      </c>
      <c r="E59" t="s">
        <v>22</v>
      </c>
      <c r="F59" t="s">
        <v>1110</v>
      </c>
      <c r="G59" t="s">
        <v>44</v>
      </c>
      <c r="H59" t="s">
        <v>26</v>
      </c>
      <c r="I59" t="s">
        <v>103</v>
      </c>
      <c r="J59" t="s">
        <v>28</v>
      </c>
      <c r="K59">
        <v>4</v>
      </c>
      <c r="L59" s="2">
        <v>6585</v>
      </c>
      <c r="M59" s="2">
        <f>Table1[[#This Row],[Cost_Price]]*Table1[[#This Row],[Quantity_Sold]]</f>
        <v>26340</v>
      </c>
      <c r="N59" s="2">
        <v>13483</v>
      </c>
      <c r="O59" s="5">
        <v>0.05</v>
      </c>
      <c r="P59" s="2">
        <v>53932</v>
      </c>
      <c r="Q59" s="2">
        <v>27592</v>
      </c>
      <c r="R59">
        <v>1</v>
      </c>
    </row>
    <row r="60" spans="1:18" x14ac:dyDescent="0.25">
      <c r="A60" t="s">
        <v>293</v>
      </c>
      <c r="B60" s="1">
        <v>45381</v>
      </c>
      <c r="C60" t="s">
        <v>141</v>
      </c>
      <c r="D60" t="s">
        <v>142</v>
      </c>
      <c r="E60" t="s">
        <v>51</v>
      </c>
      <c r="F60" t="s">
        <v>92</v>
      </c>
      <c r="G60" t="s">
        <v>44</v>
      </c>
      <c r="H60" t="s">
        <v>35</v>
      </c>
      <c r="I60" t="s">
        <v>103</v>
      </c>
      <c r="J60" t="s">
        <v>36</v>
      </c>
      <c r="K60">
        <v>3</v>
      </c>
      <c r="L60" s="2">
        <v>7001</v>
      </c>
      <c r="M60" s="2">
        <f>Table1[[#This Row],[Cost_Price]]*Table1[[#This Row],[Quantity_Sold]]</f>
        <v>21003</v>
      </c>
      <c r="N60" s="2">
        <v>13035</v>
      </c>
      <c r="O60" s="5">
        <v>0.02</v>
      </c>
      <c r="P60" s="2">
        <v>39105</v>
      </c>
      <c r="Q60" s="2">
        <v>18102</v>
      </c>
      <c r="R60">
        <v>3</v>
      </c>
    </row>
    <row r="61" spans="1:18" x14ac:dyDescent="0.25">
      <c r="A61" t="s">
        <v>651</v>
      </c>
      <c r="B61" s="1">
        <v>45457</v>
      </c>
      <c r="C61" t="s">
        <v>96</v>
      </c>
      <c r="D61" t="s">
        <v>97</v>
      </c>
      <c r="E61" t="s">
        <v>51</v>
      </c>
      <c r="F61" t="s">
        <v>42</v>
      </c>
      <c r="G61" t="s">
        <v>25</v>
      </c>
      <c r="H61" t="s">
        <v>26</v>
      </c>
      <c r="I61" t="s">
        <v>103</v>
      </c>
      <c r="J61" t="s">
        <v>36</v>
      </c>
      <c r="K61">
        <v>2</v>
      </c>
      <c r="L61" s="2">
        <v>3057</v>
      </c>
      <c r="M61" s="2">
        <f>Table1[[#This Row],[Cost_Price]]*Table1[[#This Row],[Quantity_Sold]]</f>
        <v>6114</v>
      </c>
      <c r="N61" s="2">
        <v>10819</v>
      </c>
      <c r="O61" s="5">
        <v>0.05</v>
      </c>
      <c r="P61" s="2">
        <v>21638</v>
      </c>
      <c r="Q61" s="2">
        <v>15524</v>
      </c>
      <c r="R61">
        <v>2</v>
      </c>
    </row>
    <row r="62" spans="1:18" x14ac:dyDescent="0.25">
      <c r="A62" t="s">
        <v>1116</v>
      </c>
      <c r="B62" s="1">
        <v>45717</v>
      </c>
      <c r="C62" t="s">
        <v>241</v>
      </c>
      <c r="D62" t="s">
        <v>1109</v>
      </c>
      <c r="E62" t="s">
        <v>22</v>
      </c>
      <c r="F62" t="s">
        <v>23</v>
      </c>
      <c r="G62" t="s">
        <v>44</v>
      </c>
      <c r="H62" t="s">
        <v>35</v>
      </c>
      <c r="I62" t="s">
        <v>27</v>
      </c>
      <c r="J62" t="s">
        <v>59</v>
      </c>
      <c r="K62">
        <v>5</v>
      </c>
      <c r="L62" s="2">
        <v>7628</v>
      </c>
      <c r="M62" s="2">
        <f>Table1[[#This Row],[Cost_Price]]*Table1[[#This Row],[Quantity_Sold]]</f>
        <v>38140</v>
      </c>
      <c r="N62" s="2">
        <v>15536</v>
      </c>
      <c r="O62" s="5">
        <v>0.02</v>
      </c>
      <c r="P62" s="2">
        <v>77680</v>
      </c>
      <c r="Q62" s="2">
        <v>39540</v>
      </c>
      <c r="R62" s="3" t="s">
        <v>1110</v>
      </c>
    </row>
    <row r="63" spans="1:18" x14ac:dyDescent="0.25">
      <c r="A63" t="s">
        <v>94</v>
      </c>
      <c r="B63" s="1">
        <v>45801</v>
      </c>
      <c r="C63" t="s">
        <v>241</v>
      </c>
      <c r="D63" t="s">
        <v>1109</v>
      </c>
      <c r="E63" t="s">
        <v>22</v>
      </c>
      <c r="F63" t="s">
        <v>92</v>
      </c>
      <c r="G63" t="s">
        <v>44</v>
      </c>
      <c r="H63" t="s">
        <v>35</v>
      </c>
      <c r="I63" t="s">
        <v>103</v>
      </c>
      <c r="J63" t="s">
        <v>28</v>
      </c>
      <c r="K63">
        <v>3</v>
      </c>
      <c r="L63" s="2">
        <v>1884</v>
      </c>
      <c r="M63" s="2">
        <f>Table1[[#This Row],[Cost_Price]]*Table1[[#This Row],[Quantity_Sold]]</f>
        <v>5652</v>
      </c>
      <c r="N63" s="2">
        <v>3634</v>
      </c>
      <c r="O63" s="5">
        <v>0.04</v>
      </c>
      <c r="P63" s="2">
        <v>10902</v>
      </c>
      <c r="Q63" s="2">
        <v>5250</v>
      </c>
      <c r="R63">
        <v>3</v>
      </c>
    </row>
    <row r="64" spans="1:18" x14ac:dyDescent="0.25">
      <c r="A64" t="s">
        <v>886</v>
      </c>
      <c r="B64" s="1">
        <v>45642</v>
      </c>
      <c r="C64" t="s">
        <v>31</v>
      </c>
      <c r="D64" t="s">
        <v>32</v>
      </c>
      <c r="E64" t="s">
        <v>33</v>
      </c>
      <c r="F64" t="s">
        <v>1110</v>
      </c>
      <c r="G64" t="s">
        <v>25</v>
      </c>
      <c r="H64" t="s">
        <v>26</v>
      </c>
      <c r="I64" t="s">
        <v>103</v>
      </c>
      <c r="J64" t="s">
        <v>59</v>
      </c>
      <c r="K64">
        <v>7</v>
      </c>
      <c r="L64" s="2">
        <v>13323</v>
      </c>
      <c r="M64" s="2">
        <f>Table1[[#This Row],[Cost_Price]]*Table1[[#This Row],[Quantity_Sold]]</f>
        <v>93261</v>
      </c>
      <c r="N64" s="2">
        <v>19796</v>
      </c>
      <c r="O64" s="5">
        <v>0.05</v>
      </c>
      <c r="P64" s="2">
        <v>138572</v>
      </c>
      <c r="Q64" s="2">
        <v>45311</v>
      </c>
      <c r="R64">
        <v>4</v>
      </c>
    </row>
    <row r="65" spans="1:18" x14ac:dyDescent="0.25">
      <c r="A65" t="s">
        <v>90</v>
      </c>
      <c r="B65" s="1">
        <v>45477</v>
      </c>
      <c r="C65" t="s">
        <v>117</v>
      </c>
      <c r="D65" t="s">
        <v>118</v>
      </c>
      <c r="E65" t="s">
        <v>41</v>
      </c>
      <c r="F65" t="s">
        <v>92</v>
      </c>
      <c r="G65" t="s">
        <v>25</v>
      </c>
      <c r="H65" t="s">
        <v>35</v>
      </c>
      <c r="I65" t="s">
        <v>103</v>
      </c>
      <c r="J65" t="s">
        <v>54</v>
      </c>
      <c r="K65">
        <v>4</v>
      </c>
      <c r="L65" s="2">
        <v>11895</v>
      </c>
      <c r="M65" s="2">
        <f>Table1[[#This Row],[Cost_Price]]*Table1[[#This Row],[Quantity_Sold]]</f>
        <v>47580</v>
      </c>
      <c r="N65" s="2">
        <v>19298</v>
      </c>
      <c r="O65" s="5">
        <v>0.04</v>
      </c>
      <c r="P65" s="2">
        <v>77192</v>
      </c>
      <c r="Q65" s="2">
        <v>29612</v>
      </c>
      <c r="R65">
        <v>1</v>
      </c>
    </row>
    <row r="66" spans="1:18" x14ac:dyDescent="0.25">
      <c r="A66" t="s">
        <v>570</v>
      </c>
      <c r="B66" s="1">
        <v>45786</v>
      </c>
      <c r="C66" t="s">
        <v>141</v>
      </c>
      <c r="D66" t="s">
        <v>142</v>
      </c>
      <c r="E66" t="s">
        <v>51</v>
      </c>
      <c r="F66" t="s">
        <v>98</v>
      </c>
      <c r="G66" t="s">
        <v>25</v>
      </c>
      <c r="H66" t="s">
        <v>26</v>
      </c>
      <c r="I66" t="s">
        <v>103</v>
      </c>
      <c r="J66" t="s">
        <v>59</v>
      </c>
      <c r="K66">
        <v>6</v>
      </c>
      <c r="L66" s="2">
        <v>9388</v>
      </c>
      <c r="M66" s="2">
        <f>Table1[[#This Row],[Cost_Price]]*Table1[[#This Row],[Quantity_Sold]]</f>
        <v>56328</v>
      </c>
      <c r="N66" s="2">
        <v>13548</v>
      </c>
      <c r="O66" s="5">
        <v>0.1</v>
      </c>
      <c r="P66" s="2">
        <v>81288</v>
      </c>
      <c r="Q66" s="2">
        <v>24960</v>
      </c>
      <c r="R66" s="3" t="s">
        <v>1110</v>
      </c>
    </row>
    <row r="67" spans="1:18" x14ac:dyDescent="0.25">
      <c r="A67" t="s">
        <v>875</v>
      </c>
      <c r="B67" s="1">
        <v>45464</v>
      </c>
      <c r="C67" t="s">
        <v>62</v>
      </c>
      <c r="D67" t="s">
        <v>63</v>
      </c>
      <c r="E67" t="s">
        <v>64</v>
      </c>
      <c r="F67" t="s">
        <v>23</v>
      </c>
      <c r="G67" t="s">
        <v>44</v>
      </c>
      <c r="H67" t="s">
        <v>45</v>
      </c>
      <c r="I67" t="s">
        <v>27</v>
      </c>
      <c r="J67" t="s">
        <v>54</v>
      </c>
      <c r="K67">
        <v>5</v>
      </c>
      <c r="L67" s="2">
        <v>7284</v>
      </c>
      <c r="M67" s="2">
        <f>Table1[[#This Row],[Cost_Price]]*Table1[[#This Row],[Quantity_Sold]]</f>
        <v>36420</v>
      </c>
      <c r="N67" s="2">
        <v>15064</v>
      </c>
      <c r="O67" s="5">
        <v>0.1</v>
      </c>
      <c r="P67" s="2">
        <v>75320</v>
      </c>
      <c r="Q67" s="2">
        <v>38900</v>
      </c>
      <c r="R67">
        <v>5</v>
      </c>
    </row>
    <row r="68" spans="1:18" x14ac:dyDescent="0.25">
      <c r="A68" t="s">
        <v>134</v>
      </c>
      <c r="B68" s="1">
        <v>45477</v>
      </c>
      <c r="C68" t="s">
        <v>49</v>
      </c>
      <c r="D68" t="s">
        <v>83</v>
      </c>
      <c r="E68" t="s">
        <v>51</v>
      </c>
      <c r="F68" t="s">
        <v>1110</v>
      </c>
      <c r="G68" t="s">
        <v>44</v>
      </c>
      <c r="H68" t="s">
        <v>26</v>
      </c>
      <c r="I68" t="s">
        <v>58</v>
      </c>
      <c r="J68" t="s">
        <v>59</v>
      </c>
      <c r="K68">
        <v>4</v>
      </c>
      <c r="L68" s="2">
        <v>9238</v>
      </c>
      <c r="M68" s="2">
        <f>Table1[[#This Row],[Cost_Price]]*Table1[[#This Row],[Quantity_Sold]]</f>
        <v>36952</v>
      </c>
      <c r="N68" s="2">
        <v>12276</v>
      </c>
      <c r="O68" s="5">
        <v>0.02</v>
      </c>
      <c r="P68" s="2">
        <v>49104</v>
      </c>
      <c r="Q68" s="2">
        <v>12152</v>
      </c>
      <c r="R68">
        <v>5</v>
      </c>
    </row>
    <row r="69" spans="1:18" x14ac:dyDescent="0.25">
      <c r="A69" t="s">
        <v>1046</v>
      </c>
      <c r="B69" s="1">
        <v>45546</v>
      </c>
      <c r="C69" t="s">
        <v>149</v>
      </c>
      <c r="D69" t="s">
        <v>150</v>
      </c>
      <c r="E69" t="s">
        <v>51</v>
      </c>
      <c r="F69" t="s">
        <v>92</v>
      </c>
      <c r="G69" t="s">
        <v>44</v>
      </c>
      <c r="H69" t="s">
        <v>35</v>
      </c>
      <c r="I69" t="s">
        <v>58</v>
      </c>
      <c r="J69" t="s">
        <v>28</v>
      </c>
      <c r="K69">
        <v>1</v>
      </c>
      <c r="L69" s="2">
        <v>13930</v>
      </c>
      <c r="M69" s="2">
        <f>Table1[[#This Row],[Cost_Price]]*Table1[[#This Row],[Quantity_Sold]]</f>
        <v>13930</v>
      </c>
      <c r="N69" s="2">
        <v>16742</v>
      </c>
      <c r="O69" s="5">
        <v>0.1</v>
      </c>
      <c r="P69" s="2">
        <v>16742</v>
      </c>
      <c r="Q69" s="2">
        <v>2812</v>
      </c>
      <c r="R69">
        <v>2</v>
      </c>
    </row>
    <row r="70" spans="1:18" x14ac:dyDescent="0.25">
      <c r="A70" t="s">
        <v>960</v>
      </c>
      <c r="B70" s="1">
        <v>45419</v>
      </c>
      <c r="C70" t="s">
        <v>96</v>
      </c>
      <c r="D70" t="s">
        <v>97</v>
      </c>
      <c r="E70" t="s">
        <v>51</v>
      </c>
      <c r="F70" t="s">
        <v>98</v>
      </c>
      <c r="G70" t="s">
        <v>44</v>
      </c>
      <c r="H70" t="s">
        <v>45</v>
      </c>
      <c r="I70" t="s">
        <v>103</v>
      </c>
      <c r="J70" t="s">
        <v>54</v>
      </c>
      <c r="K70">
        <v>2</v>
      </c>
      <c r="L70" s="2">
        <v>12962</v>
      </c>
      <c r="M70" s="2">
        <f>Table1[[#This Row],[Cost_Price]]*Table1[[#This Row],[Quantity_Sold]]</f>
        <v>25924</v>
      </c>
      <c r="N70" s="2">
        <v>16436</v>
      </c>
      <c r="O70" s="5">
        <v>0.1</v>
      </c>
      <c r="P70" s="2">
        <v>32872</v>
      </c>
      <c r="Q70" s="2">
        <v>6948</v>
      </c>
      <c r="R70">
        <v>5</v>
      </c>
    </row>
    <row r="71" spans="1:18" x14ac:dyDescent="0.25">
      <c r="A71" t="s">
        <v>173</v>
      </c>
      <c r="B71" s="1">
        <v>45578</v>
      </c>
      <c r="C71" t="s">
        <v>77</v>
      </c>
      <c r="D71" t="s">
        <v>78</v>
      </c>
      <c r="E71" t="s">
        <v>64</v>
      </c>
      <c r="F71" t="s">
        <v>42</v>
      </c>
      <c r="G71" t="s">
        <v>44</v>
      </c>
      <c r="H71" t="s">
        <v>26</v>
      </c>
      <c r="I71" t="s">
        <v>103</v>
      </c>
      <c r="J71" t="s">
        <v>54</v>
      </c>
      <c r="K71">
        <v>8</v>
      </c>
      <c r="L71" s="2">
        <v>11628</v>
      </c>
      <c r="M71" s="2">
        <f>Table1[[#This Row],[Cost_Price]]*Table1[[#This Row],[Quantity_Sold]]</f>
        <v>93024</v>
      </c>
      <c r="N71" s="2">
        <v>14384</v>
      </c>
      <c r="O71" s="5">
        <v>0</v>
      </c>
      <c r="P71" s="2">
        <v>115072</v>
      </c>
      <c r="Q71" s="2">
        <v>22048</v>
      </c>
      <c r="R71">
        <v>1</v>
      </c>
    </row>
    <row r="72" spans="1:18" x14ac:dyDescent="0.25">
      <c r="A72" t="s">
        <v>1117</v>
      </c>
      <c r="B72" s="1">
        <v>45725</v>
      </c>
      <c r="C72" t="s">
        <v>278</v>
      </c>
      <c r="D72" t="s">
        <v>279</v>
      </c>
      <c r="E72" t="s">
        <v>64</v>
      </c>
      <c r="F72" t="s">
        <v>98</v>
      </c>
      <c r="G72" t="s">
        <v>44</v>
      </c>
      <c r="H72" t="s">
        <v>45</v>
      </c>
      <c r="I72" t="s">
        <v>27</v>
      </c>
      <c r="J72" t="s">
        <v>36</v>
      </c>
      <c r="K72">
        <v>1</v>
      </c>
      <c r="L72" s="2">
        <v>4458</v>
      </c>
      <c r="M72" s="2">
        <f>Table1[[#This Row],[Cost_Price]]*Table1[[#This Row],[Quantity_Sold]]</f>
        <v>4458</v>
      </c>
      <c r="N72" s="2">
        <v>7299</v>
      </c>
      <c r="O72" s="5">
        <v>0.04</v>
      </c>
      <c r="P72" s="2">
        <v>7299</v>
      </c>
      <c r="Q72" s="2">
        <v>2841</v>
      </c>
      <c r="R72">
        <v>2</v>
      </c>
    </row>
    <row r="73" spans="1:18" x14ac:dyDescent="0.25">
      <c r="A73" t="s">
        <v>1019</v>
      </c>
      <c r="B73" s="1">
        <v>45765</v>
      </c>
      <c r="C73" t="s">
        <v>117</v>
      </c>
      <c r="D73" t="s">
        <v>118</v>
      </c>
      <c r="E73" t="s">
        <v>41</v>
      </c>
      <c r="F73" t="s">
        <v>23</v>
      </c>
      <c r="G73" t="s">
        <v>44</v>
      </c>
      <c r="H73" t="s">
        <v>35</v>
      </c>
      <c r="I73" t="s">
        <v>103</v>
      </c>
      <c r="J73" t="s">
        <v>59</v>
      </c>
      <c r="K73">
        <v>6</v>
      </c>
      <c r="L73" s="2">
        <v>11375</v>
      </c>
      <c r="M73" s="2">
        <f>Table1[[#This Row],[Cost_Price]]*Table1[[#This Row],[Quantity_Sold]]</f>
        <v>68250</v>
      </c>
      <c r="N73" s="2">
        <v>13608</v>
      </c>
      <c r="O73" s="5">
        <v>0.04</v>
      </c>
      <c r="P73" s="2">
        <v>81648</v>
      </c>
      <c r="Q73" s="2">
        <v>13398</v>
      </c>
      <c r="R73">
        <v>1</v>
      </c>
    </row>
    <row r="74" spans="1:18" x14ac:dyDescent="0.25">
      <c r="A74" t="s">
        <v>259</v>
      </c>
      <c r="B74" s="1">
        <v>45404</v>
      </c>
      <c r="C74" t="s">
        <v>77</v>
      </c>
      <c r="D74" t="s">
        <v>78</v>
      </c>
      <c r="E74" t="s">
        <v>64</v>
      </c>
      <c r="F74" t="s">
        <v>92</v>
      </c>
      <c r="G74" t="s">
        <v>44</v>
      </c>
      <c r="H74" t="s">
        <v>26</v>
      </c>
      <c r="I74" t="s">
        <v>103</v>
      </c>
      <c r="J74" t="s">
        <v>36</v>
      </c>
      <c r="K74">
        <v>7</v>
      </c>
      <c r="L74" s="2">
        <v>8966</v>
      </c>
      <c r="M74" s="2">
        <f>Table1[[#This Row],[Cost_Price]]*Table1[[#This Row],[Quantity_Sold]]</f>
        <v>62762</v>
      </c>
      <c r="N74" s="2">
        <v>13879</v>
      </c>
      <c r="O74" s="5">
        <v>0.02</v>
      </c>
      <c r="P74" s="2">
        <v>97153</v>
      </c>
      <c r="Q74" s="2">
        <v>34391</v>
      </c>
      <c r="R74">
        <v>3</v>
      </c>
    </row>
    <row r="75" spans="1:18" x14ac:dyDescent="0.25">
      <c r="A75" t="s">
        <v>1118</v>
      </c>
      <c r="B75" s="1">
        <v>45451</v>
      </c>
      <c r="C75" t="s">
        <v>77</v>
      </c>
      <c r="D75" t="s">
        <v>78</v>
      </c>
      <c r="E75" t="s">
        <v>64</v>
      </c>
      <c r="F75" t="s">
        <v>1110</v>
      </c>
      <c r="G75" t="s">
        <v>44</v>
      </c>
      <c r="H75" t="s">
        <v>45</v>
      </c>
      <c r="I75" t="s">
        <v>58</v>
      </c>
      <c r="J75" t="s">
        <v>54</v>
      </c>
      <c r="K75">
        <v>7</v>
      </c>
      <c r="L75" s="2">
        <v>11223</v>
      </c>
      <c r="M75" s="2">
        <f>Table1[[#This Row],[Cost_Price]]*Table1[[#This Row],[Quantity_Sold]]</f>
        <v>78561</v>
      </c>
      <c r="N75" s="2">
        <v>13773</v>
      </c>
      <c r="O75" s="5">
        <v>0.05</v>
      </c>
      <c r="P75" s="2">
        <v>96411</v>
      </c>
      <c r="Q75" s="2">
        <v>17850</v>
      </c>
      <c r="R75">
        <v>5</v>
      </c>
    </row>
    <row r="76" spans="1:18" x14ac:dyDescent="0.25">
      <c r="A76" t="s">
        <v>890</v>
      </c>
      <c r="B76" s="1">
        <v>45445</v>
      </c>
      <c r="C76" t="s">
        <v>149</v>
      </c>
      <c r="D76" t="s">
        <v>150</v>
      </c>
      <c r="E76" t="s">
        <v>51</v>
      </c>
      <c r="F76" t="s">
        <v>42</v>
      </c>
      <c r="G76" t="s">
        <v>25</v>
      </c>
      <c r="H76" t="s">
        <v>26</v>
      </c>
      <c r="I76" t="s">
        <v>120</v>
      </c>
      <c r="J76" t="s">
        <v>59</v>
      </c>
      <c r="K76">
        <v>7</v>
      </c>
      <c r="L76" s="2">
        <v>6664</v>
      </c>
      <c r="M76" s="2">
        <f>Table1[[#This Row],[Cost_Price]]*Table1[[#This Row],[Quantity_Sold]]</f>
        <v>46648</v>
      </c>
      <c r="N76" s="2">
        <v>12108</v>
      </c>
      <c r="O76" s="5">
        <v>0</v>
      </c>
      <c r="P76" s="2">
        <v>84756</v>
      </c>
      <c r="Q76" s="2">
        <v>38108</v>
      </c>
      <c r="R76">
        <v>3</v>
      </c>
    </row>
    <row r="77" spans="1:18" x14ac:dyDescent="0.25">
      <c r="A77" t="s">
        <v>1119</v>
      </c>
      <c r="B77" s="1">
        <v>45418</v>
      </c>
      <c r="C77" t="s">
        <v>96</v>
      </c>
      <c r="D77" t="s">
        <v>97</v>
      </c>
      <c r="E77" t="s">
        <v>51</v>
      </c>
      <c r="F77" t="s">
        <v>1110</v>
      </c>
      <c r="G77" t="s">
        <v>25</v>
      </c>
      <c r="H77" t="s">
        <v>45</v>
      </c>
      <c r="I77" t="s">
        <v>103</v>
      </c>
      <c r="J77" t="s">
        <v>54</v>
      </c>
      <c r="K77">
        <v>1</v>
      </c>
      <c r="L77" s="2">
        <v>8458</v>
      </c>
      <c r="M77" s="2">
        <f>Table1[[#This Row],[Cost_Price]]*Table1[[#This Row],[Quantity_Sold]]</f>
        <v>8458</v>
      </c>
      <c r="N77" s="2">
        <v>12863</v>
      </c>
      <c r="O77" s="5">
        <v>0.04</v>
      </c>
      <c r="P77" s="2">
        <v>12863</v>
      </c>
      <c r="Q77" s="2">
        <v>4405</v>
      </c>
      <c r="R77">
        <v>4</v>
      </c>
    </row>
    <row r="78" spans="1:18" x14ac:dyDescent="0.25">
      <c r="A78" t="s">
        <v>657</v>
      </c>
      <c r="B78" s="1">
        <v>45696</v>
      </c>
      <c r="C78" t="s">
        <v>241</v>
      </c>
      <c r="D78" t="s">
        <v>1109</v>
      </c>
      <c r="E78" t="s">
        <v>22</v>
      </c>
      <c r="F78" t="s">
        <v>92</v>
      </c>
      <c r="G78" t="s">
        <v>25</v>
      </c>
      <c r="H78" t="s">
        <v>35</v>
      </c>
      <c r="I78" t="s">
        <v>103</v>
      </c>
      <c r="J78" t="s">
        <v>54</v>
      </c>
      <c r="K78">
        <v>5</v>
      </c>
      <c r="L78" s="2">
        <v>4045</v>
      </c>
      <c r="M78" s="2">
        <f>Table1[[#This Row],[Cost_Price]]*Table1[[#This Row],[Quantity_Sold]]</f>
        <v>20225</v>
      </c>
      <c r="N78" s="2">
        <v>11942</v>
      </c>
      <c r="O78" s="5">
        <v>0.02</v>
      </c>
      <c r="P78" s="2">
        <v>59710</v>
      </c>
      <c r="Q78" s="2">
        <v>39485</v>
      </c>
      <c r="R78">
        <v>5</v>
      </c>
    </row>
    <row r="79" spans="1:18" x14ac:dyDescent="0.25">
      <c r="A79" t="s">
        <v>1029</v>
      </c>
      <c r="B79" s="1">
        <v>45391</v>
      </c>
      <c r="C79" t="s">
        <v>149</v>
      </c>
      <c r="D79" t="s">
        <v>150</v>
      </c>
      <c r="E79" t="s">
        <v>51</v>
      </c>
      <c r="F79" t="s">
        <v>23</v>
      </c>
      <c r="G79" t="s">
        <v>44</v>
      </c>
      <c r="H79" t="s">
        <v>35</v>
      </c>
      <c r="I79" t="s">
        <v>103</v>
      </c>
      <c r="J79" t="s">
        <v>59</v>
      </c>
      <c r="K79">
        <v>3</v>
      </c>
      <c r="L79" s="2">
        <v>12456</v>
      </c>
      <c r="M79" s="2">
        <f>Table1[[#This Row],[Cost_Price]]*Table1[[#This Row],[Quantity_Sold]]</f>
        <v>37368</v>
      </c>
      <c r="N79" s="2">
        <v>13762</v>
      </c>
      <c r="O79" s="5">
        <v>0.02</v>
      </c>
      <c r="P79" s="2">
        <v>41286</v>
      </c>
      <c r="Q79" s="2">
        <v>3918</v>
      </c>
      <c r="R79">
        <v>4</v>
      </c>
    </row>
    <row r="80" spans="1:18" x14ac:dyDescent="0.25">
      <c r="A80" t="s">
        <v>1065</v>
      </c>
      <c r="B80" s="1">
        <v>45416</v>
      </c>
      <c r="C80" t="s">
        <v>96</v>
      </c>
      <c r="D80" t="s">
        <v>97</v>
      </c>
      <c r="E80" t="s">
        <v>51</v>
      </c>
      <c r="F80" t="s">
        <v>23</v>
      </c>
      <c r="G80" t="s">
        <v>25</v>
      </c>
      <c r="H80" t="s">
        <v>35</v>
      </c>
      <c r="I80" t="s">
        <v>103</v>
      </c>
      <c r="J80" t="s">
        <v>36</v>
      </c>
      <c r="K80">
        <v>8</v>
      </c>
      <c r="L80" s="2">
        <v>14267</v>
      </c>
      <c r="M80" s="2">
        <f>Table1[[#This Row],[Cost_Price]]*Table1[[#This Row],[Quantity_Sold]]</f>
        <v>114136</v>
      </c>
      <c r="N80" s="2">
        <v>17723</v>
      </c>
      <c r="O80" s="5">
        <v>0.1</v>
      </c>
      <c r="P80" s="2">
        <v>141784</v>
      </c>
      <c r="Q80" s="2">
        <v>27648</v>
      </c>
      <c r="R80">
        <v>4</v>
      </c>
    </row>
    <row r="81" spans="1:18" x14ac:dyDescent="0.25">
      <c r="A81" t="s">
        <v>352</v>
      </c>
      <c r="B81" s="1">
        <v>45745</v>
      </c>
      <c r="C81" t="s">
        <v>278</v>
      </c>
      <c r="D81" t="s">
        <v>279</v>
      </c>
      <c r="E81" t="s">
        <v>64</v>
      </c>
      <c r="F81" t="s">
        <v>92</v>
      </c>
      <c r="G81" t="s">
        <v>44</v>
      </c>
      <c r="H81" t="s">
        <v>45</v>
      </c>
      <c r="I81" t="s">
        <v>103</v>
      </c>
      <c r="J81" t="s">
        <v>36</v>
      </c>
      <c r="K81">
        <v>5</v>
      </c>
      <c r="L81" s="2">
        <v>1503</v>
      </c>
      <c r="M81" s="2">
        <f>Table1[[#This Row],[Cost_Price]]*Table1[[#This Row],[Quantity_Sold]]</f>
        <v>7515</v>
      </c>
      <c r="N81" s="2">
        <v>8771</v>
      </c>
      <c r="O81" s="5">
        <v>0.05</v>
      </c>
      <c r="P81" s="2">
        <v>43855</v>
      </c>
      <c r="Q81" s="2">
        <v>36340</v>
      </c>
      <c r="R81">
        <v>2</v>
      </c>
    </row>
    <row r="82" spans="1:18" x14ac:dyDescent="0.25">
      <c r="A82" t="s">
        <v>528</v>
      </c>
      <c r="B82" s="1">
        <v>45304</v>
      </c>
      <c r="C82" t="s">
        <v>39</v>
      </c>
      <c r="D82" t="s">
        <v>1108</v>
      </c>
      <c r="E82" t="s">
        <v>41</v>
      </c>
      <c r="F82" t="s">
        <v>98</v>
      </c>
      <c r="G82" t="s">
        <v>44</v>
      </c>
      <c r="H82" t="s">
        <v>26</v>
      </c>
      <c r="I82" t="s">
        <v>103</v>
      </c>
      <c r="J82" t="s">
        <v>59</v>
      </c>
      <c r="K82">
        <v>6</v>
      </c>
      <c r="L82" s="2">
        <v>3970</v>
      </c>
      <c r="M82" s="2">
        <f>Table1[[#This Row],[Cost_Price]]*Table1[[#This Row],[Quantity_Sold]]</f>
        <v>23820</v>
      </c>
      <c r="N82" s="2">
        <v>11831</v>
      </c>
      <c r="O82" s="5">
        <v>0.1</v>
      </c>
      <c r="P82" s="2">
        <v>70986</v>
      </c>
      <c r="Q82" s="2">
        <v>47166</v>
      </c>
      <c r="R82">
        <v>4</v>
      </c>
    </row>
    <row r="83" spans="1:18" x14ac:dyDescent="0.25">
      <c r="A83" t="s">
        <v>1120</v>
      </c>
      <c r="B83" s="1">
        <v>45615</v>
      </c>
      <c r="C83" t="s">
        <v>82</v>
      </c>
      <c r="D83" t="s">
        <v>83</v>
      </c>
      <c r="E83" t="s">
        <v>51</v>
      </c>
      <c r="F83" t="s">
        <v>23</v>
      </c>
      <c r="G83" t="s">
        <v>25</v>
      </c>
      <c r="H83" t="s">
        <v>35</v>
      </c>
      <c r="I83" t="s">
        <v>27</v>
      </c>
      <c r="J83" t="s">
        <v>36</v>
      </c>
      <c r="K83">
        <v>2</v>
      </c>
      <c r="L83" s="2">
        <v>5157</v>
      </c>
      <c r="M83" s="2">
        <f>Table1[[#This Row],[Cost_Price]]*Table1[[#This Row],[Quantity_Sold]]</f>
        <v>10314</v>
      </c>
      <c r="N83" s="2">
        <v>10350</v>
      </c>
      <c r="O83" s="5">
        <v>0</v>
      </c>
      <c r="P83" s="2">
        <v>20700</v>
      </c>
      <c r="Q83" s="2">
        <v>10386</v>
      </c>
      <c r="R83">
        <v>2</v>
      </c>
    </row>
    <row r="84" spans="1:18" x14ac:dyDescent="0.25">
      <c r="A84" t="s">
        <v>203</v>
      </c>
      <c r="B84" s="1">
        <v>45740</v>
      </c>
      <c r="C84" t="s">
        <v>141</v>
      </c>
      <c r="D84" t="s">
        <v>142</v>
      </c>
      <c r="E84" t="s">
        <v>51</v>
      </c>
      <c r="F84" t="s">
        <v>73</v>
      </c>
      <c r="G84" t="s">
        <v>44</v>
      </c>
      <c r="H84" t="s">
        <v>26</v>
      </c>
      <c r="I84" t="s">
        <v>58</v>
      </c>
      <c r="J84" t="s">
        <v>54</v>
      </c>
      <c r="K84">
        <v>7</v>
      </c>
      <c r="L84" s="2">
        <v>10591</v>
      </c>
      <c r="M84" s="2">
        <f>Table1[[#This Row],[Cost_Price]]*Table1[[#This Row],[Quantity_Sold]]</f>
        <v>74137</v>
      </c>
      <c r="N84" s="2">
        <v>12410</v>
      </c>
      <c r="O84" s="5">
        <v>0.1</v>
      </c>
      <c r="P84" s="2">
        <v>86870</v>
      </c>
      <c r="Q84" s="2">
        <v>12733</v>
      </c>
      <c r="R84">
        <v>1</v>
      </c>
    </row>
    <row r="85" spans="1:18" x14ac:dyDescent="0.25">
      <c r="A85" t="s">
        <v>861</v>
      </c>
      <c r="B85" s="1">
        <v>45352</v>
      </c>
      <c r="C85" t="s">
        <v>117</v>
      </c>
      <c r="D85" t="s">
        <v>118</v>
      </c>
      <c r="E85" t="s">
        <v>41</v>
      </c>
      <c r="F85" t="s">
        <v>92</v>
      </c>
      <c r="G85" t="s">
        <v>25</v>
      </c>
      <c r="H85" t="s">
        <v>35</v>
      </c>
      <c r="I85" t="s">
        <v>103</v>
      </c>
      <c r="J85" t="s">
        <v>28</v>
      </c>
      <c r="K85">
        <v>7</v>
      </c>
      <c r="L85" s="2">
        <v>11418</v>
      </c>
      <c r="M85" s="2">
        <f>Table1[[#This Row],[Cost_Price]]*Table1[[#This Row],[Quantity_Sold]]</f>
        <v>79926</v>
      </c>
      <c r="N85" s="2">
        <v>14754</v>
      </c>
      <c r="O85" s="5">
        <v>0.05</v>
      </c>
      <c r="P85" s="2">
        <v>103278</v>
      </c>
      <c r="Q85" s="2">
        <v>23352</v>
      </c>
      <c r="R85">
        <v>1</v>
      </c>
    </row>
    <row r="86" spans="1:18" x14ac:dyDescent="0.25">
      <c r="A86" t="s">
        <v>139</v>
      </c>
      <c r="B86" s="1">
        <v>45484</v>
      </c>
      <c r="C86" t="s">
        <v>141</v>
      </c>
      <c r="D86" t="s">
        <v>142</v>
      </c>
      <c r="E86" t="s">
        <v>51</v>
      </c>
      <c r="F86" t="s">
        <v>42</v>
      </c>
      <c r="G86" t="s">
        <v>44</v>
      </c>
      <c r="H86" t="s">
        <v>26</v>
      </c>
      <c r="I86" t="s">
        <v>103</v>
      </c>
      <c r="J86" t="s">
        <v>54</v>
      </c>
      <c r="K86">
        <v>5</v>
      </c>
      <c r="L86" s="2">
        <v>8726</v>
      </c>
      <c r="M86" s="2">
        <f>Table1[[#This Row],[Cost_Price]]*Table1[[#This Row],[Quantity_Sold]]</f>
        <v>43630</v>
      </c>
      <c r="N86" s="2">
        <v>10177</v>
      </c>
      <c r="O86" s="5">
        <v>0.02</v>
      </c>
      <c r="P86" s="2">
        <v>50885</v>
      </c>
      <c r="Q86" s="2">
        <v>7255</v>
      </c>
      <c r="R86">
        <v>1</v>
      </c>
    </row>
    <row r="87" spans="1:18" x14ac:dyDescent="0.25">
      <c r="A87" t="s">
        <v>811</v>
      </c>
      <c r="B87" s="1">
        <v>45318</v>
      </c>
      <c r="C87" t="s">
        <v>278</v>
      </c>
      <c r="D87" t="s">
        <v>279</v>
      </c>
      <c r="E87" t="s">
        <v>64</v>
      </c>
      <c r="F87" t="s">
        <v>23</v>
      </c>
      <c r="G87" t="s">
        <v>44</v>
      </c>
      <c r="H87" t="s">
        <v>26</v>
      </c>
      <c r="I87" t="s">
        <v>27</v>
      </c>
      <c r="J87" t="s">
        <v>59</v>
      </c>
      <c r="K87">
        <v>4</v>
      </c>
      <c r="L87" s="2">
        <v>7427</v>
      </c>
      <c r="M87" s="2">
        <f>Table1[[#This Row],[Cost_Price]]*Table1[[#This Row],[Quantity_Sold]]</f>
        <v>29708</v>
      </c>
      <c r="N87" s="2">
        <v>10694</v>
      </c>
      <c r="O87" s="5">
        <v>0.05</v>
      </c>
      <c r="P87" s="2">
        <v>42776</v>
      </c>
      <c r="Q87" s="2">
        <v>13068</v>
      </c>
      <c r="R87">
        <v>2</v>
      </c>
    </row>
    <row r="88" spans="1:18" x14ac:dyDescent="0.25">
      <c r="A88" t="s">
        <v>170</v>
      </c>
      <c r="B88" s="1">
        <v>45791</v>
      </c>
      <c r="C88" t="s">
        <v>117</v>
      </c>
      <c r="D88" t="s">
        <v>118</v>
      </c>
      <c r="E88" t="s">
        <v>41</v>
      </c>
      <c r="F88" t="s">
        <v>1110</v>
      </c>
      <c r="G88" t="s">
        <v>25</v>
      </c>
      <c r="H88" t="s">
        <v>35</v>
      </c>
      <c r="I88" t="s">
        <v>103</v>
      </c>
      <c r="J88" t="s">
        <v>28</v>
      </c>
      <c r="K88">
        <v>3</v>
      </c>
      <c r="L88" s="2">
        <v>7269</v>
      </c>
      <c r="M88" s="2">
        <f>Table1[[#This Row],[Cost_Price]]*Table1[[#This Row],[Quantity_Sold]]</f>
        <v>21807</v>
      </c>
      <c r="N88" s="2">
        <v>11885</v>
      </c>
      <c r="O88" s="5">
        <v>0.02</v>
      </c>
      <c r="P88" s="2">
        <v>35655</v>
      </c>
      <c r="Q88" s="2">
        <v>13848</v>
      </c>
      <c r="R88">
        <v>1</v>
      </c>
    </row>
    <row r="89" spans="1:18" x14ac:dyDescent="0.25">
      <c r="A89" t="s">
        <v>268</v>
      </c>
      <c r="B89" s="1">
        <v>45511</v>
      </c>
      <c r="C89" t="s">
        <v>241</v>
      </c>
      <c r="D89" t="s">
        <v>1109</v>
      </c>
      <c r="E89" t="s">
        <v>22</v>
      </c>
      <c r="F89" t="s">
        <v>92</v>
      </c>
      <c r="G89" t="s">
        <v>44</v>
      </c>
      <c r="H89" t="s">
        <v>45</v>
      </c>
      <c r="I89" t="s">
        <v>103</v>
      </c>
      <c r="J89" t="s">
        <v>59</v>
      </c>
      <c r="K89">
        <v>2</v>
      </c>
      <c r="L89" s="2">
        <v>7540</v>
      </c>
      <c r="M89" s="2">
        <f>Table1[[#This Row],[Cost_Price]]*Table1[[#This Row],[Quantity_Sold]]</f>
        <v>15080</v>
      </c>
      <c r="N89" s="2">
        <v>12287</v>
      </c>
      <c r="O89" s="5">
        <v>0</v>
      </c>
      <c r="P89" s="2">
        <v>24574</v>
      </c>
      <c r="Q89" s="2">
        <v>9494</v>
      </c>
      <c r="R89" s="3" t="s">
        <v>1110</v>
      </c>
    </row>
    <row r="90" spans="1:18" x14ac:dyDescent="0.25">
      <c r="A90" t="s">
        <v>621</v>
      </c>
      <c r="B90" s="1">
        <v>45602</v>
      </c>
      <c r="C90" t="s">
        <v>87</v>
      </c>
      <c r="D90" t="s">
        <v>88</v>
      </c>
      <c r="E90" t="s">
        <v>33</v>
      </c>
      <c r="F90" t="s">
        <v>73</v>
      </c>
      <c r="G90" t="s">
        <v>44</v>
      </c>
      <c r="H90" t="s">
        <v>35</v>
      </c>
      <c r="I90" t="s">
        <v>103</v>
      </c>
      <c r="J90" t="s">
        <v>54</v>
      </c>
      <c r="K90">
        <v>5</v>
      </c>
      <c r="L90" s="2">
        <v>8710</v>
      </c>
      <c r="M90" s="2">
        <f>Table1[[#This Row],[Cost_Price]]*Table1[[#This Row],[Quantity_Sold]]</f>
        <v>43550</v>
      </c>
      <c r="N90" s="2">
        <v>12870</v>
      </c>
      <c r="O90" s="5">
        <v>0.1</v>
      </c>
      <c r="P90" s="2">
        <v>64350</v>
      </c>
      <c r="Q90" s="2">
        <v>20800</v>
      </c>
      <c r="R90">
        <v>4</v>
      </c>
    </row>
    <row r="91" spans="1:18" x14ac:dyDescent="0.25">
      <c r="A91" t="s">
        <v>281</v>
      </c>
      <c r="B91" s="1">
        <v>45762</v>
      </c>
      <c r="C91" t="s">
        <v>241</v>
      </c>
      <c r="D91" t="s">
        <v>1109</v>
      </c>
      <c r="E91" t="s">
        <v>22</v>
      </c>
      <c r="F91" t="s">
        <v>73</v>
      </c>
      <c r="G91" t="s">
        <v>44</v>
      </c>
      <c r="H91" t="s">
        <v>35</v>
      </c>
      <c r="I91" t="s">
        <v>27</v>
      </c>
      <c r="J91" t="s">
        <v>36</v>
      </c>
      <c r="K91">
        <v>4</v>
      </c>
      <c r="L91" s="2">
        <v>13084</v>
      </c>
      <c r="M91" s="2">
        <f>Table1[[#This Row],[Cost_Price]]*Table1[[#This Row],[Quantity_Sold]]</f>
        <v>52336</v>
      </c>
      <c r="N91" s="2">
        <v>14806</v>
      </c>
      <c r="O91" s="5">
        <v>0.02</v>
      </c>
      <c r="P91" s="2">
        <v>59224</v>
      </c>
      <c r="Q91" s="2">
        <v>6888</v>
      </c>
      <c r="R91">
        <v>3</v>
      </c>
    </row>
    <row r="92" spans="1:18" x14ac:dyDescent="0.25">
      <c r="A92" t="s">
        <v>85</v>
      </c>
      <c r="B92" s="1">
        <v>45568</v>
      </c>
      <c r="C92" t="s">
        <v>39</v>
      </c>
      <c r="D92" t="s">
        <v>1108</v>
      </c>
      <c r="E92" t="s">
        <v>41</v>
      </c>
      <c r="F92" t="s">
        <v>23</v>
      </c>
      <c r="G92" t="s">
        <v>25</v>
      </c>
      <c r="H92" t="s">
        <v>26</v>
      </c>
      <c r="I92" t="s">
        <v>103</v>
      </c>
      <c r="J92" t="s">
        <v>54</v>
      </c>
      <c r="K92">
        <v>5</v>
      </c>
      <c r="L92" s="2">
        <v>1946</v>
      </c>
      <c r="M92" s="2">
        <f>Table1[[#This Row],[Cost_Price]]*Table1[[#This Row],[Quantity_Sold]]</f>
        <v>9730</v>
      </c>
      <c r="N92" s="2">
        <v>2729</v>
      </c>
      <c r="O92" s="5">
        <v>0.02</v>
      </c>
      <c r="P92" s="2">
        <v>13645</v>
      </c>
      <c r="Q92" s="2">
        <v>3915</v>
      </c>
      <c r="R92">
        <v>2</v>
      </c>
    </row>
    <row r="93" spans="1:18" x14ac:dyDescent="0.25">
      <c r="A93" t="s">
        <v>1121</v>
      </c>
      <c r="B93" s="1">
        <v>45790</v>
      </c>
      <c r="C93" t="s">
        <v>149</v>
      </c>
      <c r="D93" t="s">
        <v>150</v>
      </c>
      <c r="E93" t="s">
        <v>51</v>
      </c>
      <c r="F93" t="s">
        <v>23</v>
      </c>
      <c r="G93" t="s">
        <v>25</v>
      </c>
      <c r="H93" t="s">
        <v>35</v>
      </c>
      <c r="I93" t="s">
        <v>103</v>
      </c>
      <c r="J93" t="s">
        <v>28</v>
      </c>
      <c r="K93">
        <v>1</v>
      </c>
      <c r="L93" s="2">
        <v>1664</v>
      </c>
      <c r="M93" s="2">
        <f>Table1[[#This Row],[Cost_Price]]*Table1[[#This Row],[Quantity_Sold]]</f>
        <v>1664</v>
      </c>
      <c r="N93" s="2">
        <v>5257</v>
      </c>
      <c r="O93" s="5">
        <v>0.02</v>
      </c>
      <c r="P93" s="2">
        <v>5257</v>
      </c>
      <c r="Q93" s="2">
        <v>3593</v>
      </c>
      <c r="R93">
        <v>1</v>
      </c>
    </row>
    <row r="94" spans="1:18" x14ac:dyDescent="0.25">
      <c r="A94" t="s">
        <v>803</v>
      </c>
      <c r="B94" s="1">
        <v>45562</v>
      </c>
      <c r="C94" t="s">
        <v>77</v>
      </c>
      <c r="D94" t="s">
        <v>78</v>
      </c>
      <c r="E94" t="s">
        <v>64</v>
      </c>
      <c r="F94" t="s">
        <v>42</v>
      </c>
      <c r="G94" t="s">
        <v>25</v>
      </c>
      <c r="H94" t="s">
        <v>35</v>
      </c>
      <c r="I94" t="s">
        <v>103</v>
      </c>
      <c r="J94" t="s">
        <v>36</v>
      </c>
      <c r="K94">
        <v>5</v>
      </c>
      <c r="L94" s="2">
        <v>13181</v>
      </c>
      <c r="M94" s="2">
        <f>Table1[[#This Row],[Cost_Price]]*Table1[[#This Row],[Quantity_Sold]]</f>
        <v>65905</v>
      </c>
      <c r="N94" s="2">
        <v>16645</v>
      </c>
      <c r="O94" s="5">
        <v>0.1</v>
      </c>
      <c r="P94" s="2">
        <v>83225</v>
      </c>
      <c r="Q94" s="2">
        <v>17320</v>
      </c>
      <c r="R94">
        <v>4</v>
      </c>
    </row>
    <row r="95" spans="1:18" x14ac:dyDescent="0.25">
      <c r="A95" t="s">
        <v>244</v>
      </c>
      <c r="B95" s="1">
        <v>45396</v>
      </c>
      <c r="C95" t="s">
        <v>149</v>
      </c>
      <c r="D95" t="s">
        <v>150</v>
      </c>
      <c r="E95" t="s">
        <v>51</v>
      </c>
      <c r="F95" t="s">
        <v>73</v>
      </c>
      <c r="G95" t="s">
        <v>25</v>
      </c>
      <c r="H95" t="s">
        <v>26</v>
      </c>
      <c r="I95" t="s">
        <v>58</v>
      </c>
      <c r="J95" t="s">
        <v>36</v>
      </c>
      <c r="K95">
        <v>6</v>
      </c>
      <c r="L95" s="2">
        <v>6038</v>
      </c>
      <c r="M95" s="2">
        <f>Table1[[#This Row],[Cost_Price]]*Table1[[#This Row],[Quantity_Sold]]</f>
        <v>36228</v>
      </c>
      <c r="N95" s="2">
        <v>7932</v>
      </c>
      <c r="O95" s="5">
        <v>0.04</v>
      </c>
      <c r="P95" s="2">
        <v>47592</v>
      </c>
      <c r="Q95" s="2">
        <v>11364</v>
      </c>
      <c r="R95">
        <v>2</v>
      </c>
    </row>
    <row r="96" spans="1:18" x14ac:dyDescent="0.25">
      <c r="A96" t="s">
        <v>542</v>
      </c>
      <c r="B96" s="1">
        <v>45476</v>
      </c>
      <c r="C96" t="s">
        <v>20</v>
      </c>
      <c r="D96" t="s">
        <v>1107</v>
      </c>
      <c r="E96" t="s">
        <v>22</v>
      </c>
      <c r="F96" t="s">
        <v>92</v>
      </c>
      <c r="G96" t="s">
        <v>25</v>
      </c>
      <c r="H96" t="s">
        <v>26</v>
      </c>
      <c r="I96" t="s">
        <v>103</v>
      </c>
      <c r="J96" t="s">
        <v>54</v>
      </c>
      <c r="K96">
        <v>2</v>
      </c>
      <c r="L96" s="2">
        <v>11447</v>
      </c>
      <c r="M96" s="2">
        <f>Table1[[#This Row],[Cost_Price]]*Table1[[#This Row],[Quantity_Sold]]</f>
        <v>22894</v>
      </c>
      <c r="N96" s="2">
        <v>14483</v>
      </c>
      <c r="O96" s="5">
        <v>0.04</v>
      </c>
      <c r="P96" s="2">
        <v>28966</v>
      </c>
      <c r="Q96" s="2">
        <v>6072</v>
      </c>
      <c r="R96">
        <v>2</v>
      </c>
    </row>
    <row r="97" spans="1:18" x14ac:dyDescent="0.25">
      <c r="A97" t="s">
        <v>991</v>
      </c>
      <c r="B97" s="1">
        <v>45473</v>
      </c>
      <c r="C97" t="s">
        <v>82</v>
      </c>
      <c r="D97" t="s">
        <v>83</v>
      </c>
      <c r="E97" t="s">
        <v>51</v>
      </c>
      <c r="F97" t="s">
        <v>42</v>
      </c>
      <c r="G97" t="s">
        <v>25</v>
      </c>
      <c r="H97" t="s">
        <v>26</v>
      </c>
      <c r="I97" t="s">
        <v>103</v>
      </c>
      <c r="J97" t="s">
        <v>59</v>
      </c>
      <c r="K97">
        <v>3</v>
      </c>
      <c r="L97" s="2">
        <v>12783</v>
      </c>
      <c r="M97" s="2">
        <f>Table1[[#This Row],[Cost_Price]]*Table1[[#This Row],[Quantity_Sold]]</f>
        <v>38349</v>
      </c>
      <c r="N97" s="2">
        <v>20529</v>
      </c>
      <c r="O97" s="5">
        <v>0.02</v>
      </c>
      <c r="P97" s="2">
        <v>61587</v>
      </c>
      <c r="Q97" s="2">
        <v>23238</v>
      </c>
      <c r="R97">
        <v>4</v>
      </c>
    </row>
    <row r="98" spans="1:18" x14ac:dyDescent="0.25">
      <c r="A98" t="s">
        <v>661</v>
      </c>
      <c r="B98" s="1">
        <v>45469</v>
      </c>
      <c r="C98" t="s">
        <v>106</v>
      </c>
      <c r="D98" t="s">
        <v>107</v>
      </c>
      <c r="E98" t="s">
        <v>41</v>
      </c>
      <c r="F98" t="s">
        <v>23</v>
      </c>
      <c r="G98" t="s">
        <v>25</v>
      </c>
      <c r="H98" t="s">
        <v>45</v>
      </c>
      <c r="I98" t="s">
        <v>103</v>
      </c>
      <c r="J98" t="s">
        <v>28</v>
      </c>
      <c r="K98">
        <v>3</v>
      </c>
      <c r="L98" s="2">
        <v>10854</v>
      </c>
      <c r="M98" s="2">
        <f>Table1[[#This Row],[Cost_Price]]*Table1[[#This Row],[Quantity_Sold]]</f>
        <v>32562</v>
      </c>
      <c r="N98" s="2">
        <v>12620</v>
      </c>
      <c r="O98" s="5">
        <v>0</v>
      </c>
      <c r="P98" s="2">
        <v>37860</v>
      </c>
      <c r="Q98" s="2">
        <v>5298</v>
      </c>
      <c r="R98">
        <v>3</v>
      </c>
    </row>
    <row r="99" spans="1:18" x14ac:dyDescent="0.25">
      <c r="A99" t="s">
        <v>474</v>
      </c>
      <c r="B99" s="1">
        <v>45815</v>
      </c>
      <c r="C99" t="s">
        <v>20</v>
      </c>
      <c r="D99" t="s">
        <v>1107</v>
      </c>
      <c r="E99" t="s">
        <v>22</v>
      </c>
      <c r="F99" t="s">
        <v>98</v>
      </c>
      <c r="G99" t="s">
        <v>25</v>
      </c>
      <c r="H99" t="s">
        <v>45</v>
      </c>
      <c r="I99" t="s">
        <v>120</v>
      </c>
      <c r="J99" t="s">
        <v>54</v>
      </c>
      <c r="K99">
        <v>7</v>
      </c>
      <c r="L99" s="2">
        <v>14299</v>
      </c>
      <c r="M99" s="2">
        <f>Table1[[#This Row],[Cost_Price]]*Table1[[#This Row],[Quantity_Sold]]</f>
        <v>100093</v>
      </c>
      <c r="N99" s="2">
        <v>19730</v>
      </c>
      <c r="O99" s="5">
        <v>0.05</v>
      </c>
      <c r="P99" s="2">
        <v>138110</v>
      </c>
      <c r="Q99" s="2">
        <v>38017</v>
      </c>
      <c r="R99">
        <v>4</v>
      </c>
    </row>
    <row r="100" spans="1:18" x14ac:dyDescent="0.25">
      <c r="A100" t="s">
        <v>247</v>
      </c>
      <c r="B100" s="1">
        <v>45599</v>
      </c>
      <c r="C100" t="s">
        <v>31</v>
      </c>
      <c r="D100" t="s">
        <v>32</v>
      </c>
      <c r="E100" t="s">
        <v>33</v>
      </c>
      <c r="F100" t="s">
        <v>73</v>
      </c>
      <c r="G100" t="s">
        <v>44</v>
      </c>
      <c r="H100" t="s">
        <v>35</v>
      </c>
      <c r="I100" t="s">
        <v>58</v>
      </c>
      <c r="J100" t="s">
        <v>36</v>
      </c>
      <c r="K100">
        <v>5</v>
      </c>
      <c r="L100" s="2">
        <v>14267</v>
      </c>
      <c r="M100" s="2">
        <f>Table1[[#This Row],[Cost_Price]]*Table1[[#This Row],[Quantity_Sold]]</f>
        <v>71335</v>
      </c>
      <c r="N100" s="2">
        <v>19198</v>
      </c>
      <c r="O100" s="5">
        <v>0.1</v>
      </c>
      <c r="P100" s="2">
        <v>95990</v>
      </c>
      <c r="Q100" s="2">
        <v>24655</v>
      </c>
      <c r="R100" s="3" t="s">
        <v>1110</v>
      </c>
    </row>
    <row r="101" spans="1:18" x14ac:dyDescent="0.25">
      <c r="A101" t="s">
        <v>1122</v>
      </c>
      <c r="B101" s="1">
        <v>45608</v>
      </c>
      <c r="C101" t="s">
        <v>71</v>
      </c>
      <c r="D101" t="s">
        <v>72</v>
      </c>
      <c r="E101" t="s">
        <v>64</v>
      </c>
      <c r="F101" t="s">
        <v>42</v>
      </c>
      <c r="G101" t="s">
        <v>25</v>
      </c>
      <c r="H101" t="s">
        <v>35</v>
      </c>
      <c r="I101" t="s">
        <v>27</v>
      </c>
      <c r="J101" t="s">
        <v>59</v>
      </c>
      <c r="K101">
        <v>7</v>
      </c>
      <c r="L101" s="2">
        <v>14806</v>
      </c>
      <c r="M101" s="2">
        <f>Table1[[#This Row],[Cost_Price]]*Table1[[#This Row],[Quantity_Sold]]</f>
        <v>103642</v>
      </c>
      <c r="N101" s="2">
        <v>18873</v>
      </c>
      <c r="O101" s="5">
        <v>0.1</v>
      </c>
      <c r="P101" s="2">
        <v>132111</v>
      </c>
      <c r="Q101" s="2">
        <v>28469</v>
      </c>
      <c r="R101">
        <v>5</v>
      </c>
    </row>
    <row r="102" spans="1:18" x14ac:dyDescent="0.25">
      <c r="A102" t="s">
        <v>393</v>
      </c>
      <c r="B102" s="1">
        <v>45473</v>
      </c>
      <c r="C102" t="s">
        <v>82</v>
      </c>
      <c r="D102" t="s">
        <v>83</v>
      </c>
      <c r="E102" t="s">
        <v>51</v>
      </c>
      <c r="F102" t="s">
        <v>73</v>
      </c>
      <c r="G102" t="s">
        <v>44</v>
      </c>
      <c r="H102" t="s">
        <v>26</v>
      </c>
      <c r="I102" t="s">
        <v>27</v>
      </c>
      <c r="J102" t="s">
        <v>28</v>
      </c>
      <c r="K102">
        <v>7</v>
      </c>
      <c r="L102" s="2">
        <v>14868</v>
      </c>
      <c r="M102" s="2">
        <f>Table1[[#This Row],[Cost_Price]]*Table1[[#This Row],[Quantity_Sold]]</f>
        <v>104076</v>
      </c>
      <c r="N102" s="2">
        <v>22024</v>
      </c>
      <c r="O102" s="5">
        <v>0.05</v>
      </c>
      <c r="P102" s="2">
        <v>154168</v>
      </c>
      <c r="Q102" s="2">
        <v>50092</v>
      </c>
      <c r="R102">
        <v>2</v>
      </c>
    </row>
    <row r="103" spans="1:18" x14ac:dyDescent="0.25">
      <c r="A103" t="s">
        <v>444</v>
      </c>
      <c r="B103" s="1">
        <v>45343</v>
      </c>
      <c r="C103" t="s">
        <v>216</v>
      </c>
      <c r="D103" t="s">
        <v>217</v>
      </c>
      <c r="E103" t="s">
        <v>33</v>
      </c>
      <c r="F103" t="s">
        <v>42</v>
      </c>
      <c r="G103" t="s">
        <v>44</v>
      </c>
      <c r="H103" t="s">
        <v>26</v>
      </c>
      <c r="I103" t="s">
        <v>58</v>
      </c>
      <c r="J103" t="s">
        <v>36</v>
      </c>
      <c r="K103">
        <v>2</v>
      </c>
      <c r="L103" s="2">
        <v>7457</v>
      </c>
      <c r="M103" s="2">
        <f>Table1[[#This Row],[Cost_Price]]*Table1[[#This Row],[Quantity_Sold]]</f>
        <v>14914</v>
      </c>
      <c r="N103" s="2">
        <v>11534</v>
      </c>
      <c r="O103" s="5">
        <v>0.02</v>
      </c>
      <c r="P103" s="2">
        <v>23068</v>
      </c>
      <c r="Q103" s="2">
        <v>8154</v>
      </c>
      <c r="R103">
        <v>1</v>
      </c>
    </row>
    <row r="104" spans="1:18" x14ac:dyDescent="0.25">
      <c r="A104" t="s">
        <v>1050</v>
      </c>
      <c r="B104" s="1">
        <v>45473</v>
      </c>
      <c r="C104" t="s">
        <v>131</v>
      </c>
      <c r="D104" t="s">
        <v>132</v>
      </c>
      <c r="E104" t="s">
        <v>64</v>
      </c>
      <c r="F104" t="s">
        <v>73</v>
      </c>
      <c r="G104" t="s">
        <v>44</v>
      </c>
      <c r="H104" t="s">
        <v>45</v>
      </c>
      <c r="I104" t="s">
        <v>103</v>
      </c>
      <c r="J104" t="s">
        <v>28</v>
      </c>
      <c r="K104">
        <v>3</v>
      </c>
      <c r="L104" s="2">
        <v>3471</v>
      </c>
      <c r="M104" s="2">
        <f>Table1[[#This Row],[Cost_Price]]*Table1[[#This Row],[Quantity_Sold]]</f>
        <v>10413</v>
      </c>
      <c r="N104" s="2">
        <v>9502</v>
      </c>
      <c r="O104" s="5">
        <v>0.04</v>
      </c>
      <c r="P104" s="2">
        <v>28506</v>
      </c>
      <c r="Q104" s="2">
        <v>18093</v>
      </c>
      <c r="R104">
        <v>1</v>
      </c>
    </row>
    <row r="105" spans="1:18" x14ac:dyDescent="0.25">
      <c r="A105" t="s">
        <v>821</v>
      </c>
      <c r="B105" s="1">
        <v>45639</v>
      </c>
      <c r="C105" t="s">
        <v>149</v>
      </c>
      <c r="D105" t="s">
        <v>150</v>
      </c>
      <c r="E105" t="s">
        <v>51</v>
      </c>
      <c r="F105" t="s">
        <v>92</v>
      </c>
      <c r="G105" t="s">
        <v>25</v>
      </c>
      <c r="H105" t="s">
        <v>35</v>
      </c>
      <c r="I105" t="s">
        <v>58</v>
      </c>
      <c r="J105" t="s">
        <v>28</v>
      </c>
      <c r="K105">
        <v>4</v>
      </c>
      <c r="L105" s="2">
        <v>5450</v>
      </c>
      <c r="M105" s="2">
        <f>Table1[[#This Row],[Cost_Price]]*Table1[[#This Row],[Quantity_Sold]]</f>
        <v>21800</v>
      </c>
      <c r="N105" s="2">
        <v>9306</v>
      </c>
      <c r="O105" s="5">
        <v>0.05</v>
      </c>
      <c r="P105" s="2">
        <v>37224</v>
      </c>
      <c r="Q105" s="2">
        <v>15424</v>
      </c>
      <c r="R105">
        <v>2</v>
      </c>
    </row>
    <row r="106" spans="1:18" x14ac:dyDescent="0.25">
      <c r="A106" t="s">
        <v>720</v>
      </c>
      <c r="B106" s="1">
        <v>45485</v>
      </c>
      <c r="C106" t="s">
        <v>131</v>
      </c>
      <c r="D106" t="s">
        <v>132</v>
      </c>
      <c r="E106" t="s">
        <v>64</v>
      </c>
      <c r="F106" t="s">
        <v>42</v>
      </c>
      <c r="G106" t="s">
        <v>25</v>
      </c>
      <c r="H106" t="s">
        <v>45</v>
      </c>
      <c r="I106" t="s">
        <v>103</v>
      </c>
      <c r="J106" t="s">
        <v>28</v>
      </c>
      <c r="K106">
        <v>4</v>
      </c>
      <c r="L106" s="2">
        <v>2709</v>
      </c>
      <c r="M106" s="2">
        <f>Table1[[#This Row],[Cost_Price]]*Table1[[#This Row],[Quantity_Sold]]</f>
        <v>10836</v>
      </c>
      <c r="N106" s="2">
        <v>6187</v>
      </c>
      <c r="O106" s="5">
        <v>0.02</v>
      </c>
      <c r="P106" s="2">
        <v>24748</v>
      </c>
      <c r="Q106" s="2">
        <v>13912</v>
      </c>
      <c r="R106">
        <v>5</v>
      </c>
    </row>
    <row r="107" spans="1:18" x14ac:dyDescent="0.25">
      <c r="A107" t="s">
        <v>539</v>
      </c>
      <c r="B107" s="1">
        <v>45383</v>
      </c>
      <c r="C107" t="s">
        <v>216</v>
      </c>
      <c r="D107" t="s">
        <v>217</v>
      </c>
      <c r="E107" t="s">
        <v>33</v>
      </c>
      <c r="F107" t="s">
        <v>73</v>
      </c>
      <c r="G107" t="s">
        <v>25</v>
      </c>
      <c r="H107" t="s">
        <v>35</v>
      </c>
      <c r="I107" t="s">
        <v>103</v>
      </c>
      <c r="J107" t="s">
        <v>59</v>
      </c>
      <c r="K107">
        <v>2</v>
      </c>
      <c r="L107" s="2">
        <v>11787</v>
      </c>
      <c r="M107" s="2">
        <f>Table1[[#This Row],[Cost_Price]]*Table1[[#This Row],[Quantity_Sold]]</f>
        <v>23574</v>
      </c>
      <c r="N107" s="2">
        <v>18021</v>
      </c>
      <c r="O107" s="5">
        <v>0.04</v>
      </c>
      <c r="P107" s="2">
        <v>36042</v>
      </c>
      <c r="Q107" s="2">
        <v>12468</v>
      </c>
      <c r="R107">
        <v>2</v>
      </c>
    </row>
    <row r="108" spans="1:18" x14ac:dyDescent="0.25">
      <c r="A108" t="s">
        <v>256</v>
      </c>
      <c r="B108" s="1">
        <v>45555</v>
      </c>
      <c r="C108" t="s">
        <v>149</v>
      </c>
      <c r="D108" t="s">
        <v>150</v>
      </c>
      <c r="E108" t="s">
        <v>51</v>
      </c>
      <c r="F108" t="s">
        <v>23</v>
      </c>
      <c r="G108" t="s">
        <v>44</v>
      </c>
      <c r="H108" t="s">
        <v>26</v>
      </c>
      <c r="I108" t="s">
        <v>27</v>
      </c>
      <c r="J108" t="s">
        <v>59</v>
      </c>
      <c r="K108">
        <v>3</v>
      </c>
      <c r="L108" s="2">
        <v>3257</v>
      </c>
      <c r="M108" s="2">
        <f>Table1[[#This Row],[Cost_Price]]*Table1[[#This Row],[Quantity_Sold]]</f>
        <v>9771</v>
      </c>
      <c r="N108" s="2">
        <v>9132</v>
      </c>
      <c r="O108" s="5">
        <v>0.1</v>
      </c>
      <c r="P108" s="2">
        <v>27396</v>
      </c>
      <c r="Q108" s="2">
        <v>17625</v>
      </c>
      <c r="R108">
        <v>5</v>
      </c>
    </row>
    <row r="109" spans="1:18" x14ac:dyDescent="0.25">
      <c r="A109" t="s">
        <v>206</v>
      </c>
      <c r="B109" s="1">
        <v>45313</v>
      </c>
      <c r="C109" t="s">
        <v>278</v>
      </c>
      <c r="D109" t="s">
        <v>279</v>
      </c>
      <c r="E109" t="s">
        <v>64</v>
      </c>
      <c r="F109" t="s">
        <v>1110</v>
      </c>
      <c r="G109" t="s">
        <v>25</v>
      </c>
      <c r="H109" t="s">
        <v>35</v>
      </c>
      <c r="I109" t="s">
        <v>103</v>
      </c>
      <c r="J109" t="s">
        <v>36</v>
      </c>
      <c r="K109">
        <v>2</v>
      </c>
      <c r="L109" s="2">
        <v>6340</v>
      </c>
      <c r="M109" s="2">
        <f>Table1[[#This Row],[Cost_Price]]*Table1[[#This Row],[Quantity_Sold]]</f>
        <v>12680</v>
      </c>
      <c r="N109" s="2">
        <v>13483</v>
      </c>
      <c r="O109" s="5">
        <v>0.04</v>
      </c>
      <c r="P109" s="2">
        <v>26966</v>
      </c>
      <c r="Q109" s="2">
        <v>14286</v>
      </c>
      <c r="R109">
        <v>2</v>
      </c>
    </row>
    <row r="110" spans="1:18" x14ac:dyDescent="0.25">
      <c r="A110" t="s">
        <v>341</v>
      </c>
      <c r="B110" s="1">
        <v>45433</v>
      </c>
      <c r="C110" t="s">
        <v>141</v>
      </c>
      <c r="D110" t="s">
        <v>142</v>
      </c>
      <c r="E110" t="s">
        <v>51</v>
      </c>
      <c r="F110" t="s">
        <v>92</v>
      </c>
      <c r="G110" t="s">
        <v>44</v>
      </c>
      <c r="H110" t="s">
        <v>35</v>
      </c>
      <c r="I110" t="s">
        <v>27</v>
      </c>
      <c r="J110" t="s">
        <v>36</v>
      </c>
      <c r="K110">
        <v>3</v>
      </c>
      <c r="L110" s="2">
        <v>2076</v>
      </c>
      <c r="M110" s="2">
        <f>Table1[[#This Row],[Cost_Price]]*Table1[[#This Row],[Quantity_Sold]]</f>
        <v>6228</v>
      </c>
      <c r="N110" s="2">
        <v>3914</v>
      </c>
      <c r="O110" s="5">
        <v>0</v>
      </c>
      <c r="P110" s="2">
        <v>11742</v>
      </c>
      <c r="Q110" s="2">
        <v>5514</v>
      </c>
      <c r="R110">
        <v>5</v>
      </c>
    </row>
    <row r="111" spans="1:18" x14ac:dyDescent="0.25">
      <c r="A111" t="s">
        <v>189</v>
      </c>
      <c r="B111" s="1">
        <v>45772</v>
      </c>
      <c r="C111" t="s">
        <v>62</v>
      </c>
      <c r="D111" t="s">
        <v>63</v>
      </c>
      <c r="E111" t="s">
        <v>64</v>
      </c>
      <c r="F111" t="s">
        <v>1110</v>
      </c>
      <c r="G111" t="s">
        <v>25</v>
      </c>
      <c r="H111" t="s">
        <v>35</v>
      </c>
      <c r="I111" t="s">
        <v>103</v>
      </c>
      <c r="J111" t="s">
        <v>59</v>
      </c>
      <c r="K111">
        <v>5</v>
      </c>
      <c r="L111" s="2">
        <v>3104</v>
      </c>
      <c r="M111" s="2">
        <f>Table1[[#This Row],[Cost_Price]]*Table1[[#This Row],[Quantity_Sold]]</f>
        <v>15520</v>
      </c>
      <c r="N111" s="2">
        <v>5764</v>
      </c>
      <c r="O111" s="5">
        <v>0.04</v>
      </c>
      <c r="P111" s="2">
        <v>28820</v>
      </c>
      <c r="Q111" s="2">
        <v>13300</v>
      </c>
      <c r="R111">
        <v>2</v>
      </c>
    </row>
    <row r="112" spans="1:18" x14ac:dyDescent="0.25">
      <c r="A112" t="s">
        <v>419</v>
      </c>
      <c r="B112" s="1">
        <v>45517</v>
      </c>
      <c r="C112" t="s">
        <v>216</v>
      </c>
      <c r="D112" t="s">
        <v>217</v>
      </c>
      <c r="E112" t="s">
        <v>33</v>
      </c>
      <c r="F112" t="s">
        <v>98</v>
      </c>
      <c r="G112" t="s">
        <v>44</v>
      </c>
      <c r="H112" t="s">
        <v>35</v>
      </c>
      <c r="I112" t="s">
        <v>103</v>
      </c>
      <c r="J112" t="s">
        <v>54</v>
      </c>
      <c r="K112">
        <v>4</v>
      </c>
      <c r="L112" s="2">
        <v>10338</v>
      </c>
      <c r="M112" s="2">
        <f>Table1[[#This Row],[Cost_Price]]*Table1[[#This Row],[Quantity_Sold]]</f>
        <v>41352</v>
      </c>
      <c r="N112" s="2">
        <v>16436</v>
      </c>
      <c r="O112" s="5">
        <v>0.1</v>
      </c>
      <c r="P112" s="2">
        <v>65744</v>
      </c>
      <c r="Q112" s="2">
        <v>24392</v>
      </c>
      <c r="R112">
        <v>3</v>
      </c>
    </row>
    <row r="113" spans="1:18" x14ac:dyDescent="0.25">
      <c r="A113" t="s">
        <v>233</v>
      </c>
      <c r="B113" s="1">
        <v>45473</v>
      </c>
      <c r="C113" t="s">
        <v>77</v>
      </c>
      <c r="D113" t="s">
        <v>78</v>
      </c>
      <c r="E113" t="s">
        <v>64</v>
      </c>
      <c r="F113" t="s">
        <v>23</v>
      </c>
      <c r="G113" t="s">
        <v>25</v>
      </c>
      <c r="H113" t="s">
        <v>45</v>
      </c>
      <c r="I113" t="s">
        <v>103</v>
      </c>
      <c r="J113" t="s">
        <v>28</v>
      </c>
      <c r="K113">
        <v>2</v>
      </c>
      <c r="L113" s="2">
        <v>11920</v>
      </c>
      <c r="M113" s="2">
        <f>Table1[[#This Row],[Cost_Price]]*Table1[[#This Row],[Quantity_Sold]]</f>
        <v>23840</v>
      </c>
      <c r="N113" s="2">
        <v>17014</v>
      </c>
      <c r="O113" s="5">
        <v>0.1</v>
      </c>
      <c r="P113" s="2">
        <v>34028</v>
      </c>
      <c r="Q113" s="2">
        <v>10188</v>
      </c>
      <c r="R113">
        <v>5</v>
      </c>
    </row>
    <row r="114" spans="1:18" x14ac:dyDescent="0.25">
      <c r="A114" t="s">
        <v>463</v>
      </c>
      <c r="B114" s="1">
        <v>45456</v>
      </c>
      <c r="C114" t="s">
        <v>131</v>
      </c>
      <c r="D114" t="s">
        <v>132</v>
      </c>
      <c r="E114" t="s">
        <v>64</v>
      </c>
      <c r="F114" t="s">
        <v>98</v>
      </c>
      <c r="G114" t="s">
        <v>44</v>
      </c>
      <c r="H114" t="s">
        <v>26</v>
      </c>
      <c r="I114" t="s">
        <v>27</v>
      </c>
      <c r="J114" t="s">
        <v>59</v>
      </c>
      <c r="K114">
        <v>8</v>
      </c>
      <c r="L114" s="2">
        <v>3121</v>
      </c>
      <c r="M114" s="2">
        <f>Table1[[#This Row],[Cost_Price]]*Table1[[#This Row],[Quantity_Sold]]</f>
        <v>24968</v>
      </c>
      <c r="N114" s="2">
        <v>10536</v>
      </c>
      <c r="O114" s="5">
        <v>0</v>
      </c>
      <c r="P114" s="2">
        <v>84288</v>
      </c>
      <c r="Q114" s="2">
        <v>59320</v>
      </c>
      <c r="R114" s="3" t="s">
        <v>1110</v>
      </c>
    </row>
    <row r="115" spans="1:18" x14ac:dyDescent="0.25">
      <c r="A115" t="s">
        <v>768</v>
      </c>
      <c r="B115" s="1">
        <v>45556</v>
      </c>
      <c r="C115" t="s">
        <v>278</v>
      </c>
      <c r="D115" t="s">
        <v>279</v>
      </c>
      <c r="E115" t="s">
        <v>64</v>
      </c>
      <c r="F115" t="s">
        <v>92</v>
      </c>
      <c r="G115" t="s">
        <v>44</v>
      </c>
      <c r="H115" t="s">
        <v>26</v>
      </c>
      <c r="I115" t="s">
        <v>103</v>
      </c>
      <c r="J115" t="s">
        <v>28</v>
      </c>
      <c r="K115">
        <v>8</v>
      </c>
      <c r="L115" s="2">
        <v>3113</v>
      </c>
      <c r="M115" s="2">
        <f>Table1[[#This Row],[Cost_Price]]*Table1[[#This Row],[Quantity_Sold]]</f>
        <v>24904</v>
      </c>
      <c r="N115" s="2">
        <v>6641</v>
      </c>
      <c r="O115" s="5">
        <v>0.1</v>
      </c>
      <c r="P115" s="2">
        <v>53128</v>
      </c>
      <c r="Q115" s="2">
        <v>28224</v>
      </c>
      <c r="R115">
        <v>3</v>
      </c>
    </row>
    <row r="116" spans="1:18" x14ac:dyDescent="0.25">
      <c r="A116" t="s">
        <v>1123</v>
      </c>
      <c r="B116" s="1">
        <v>45815</v>
      </c>
      <c r="C116" t="s">
        <v>49</v>
      </c>
      <c r="D116" t="s">
        <v>83</v>
      </c>
      <c r="E116" t="s">
        <v>51</v>
      </c>
      <c r="F116" t="s">
        <v>73</v>
      </c>
      <c r="G116" t="s">
        <v>44</v>
      </c>
      <c r="H116" t="s">
        <v>45</v>
      </c>
      <c r="I116" t="s">
        <v>103</v>
      </c>
      <c r="J116" t="s">
        <v>59</v>
      </c>
      <c r="K116">
        <v>3</v>
      </c>
      <c r="L116" s="2">
        <v>7143</v>
      </c>
      <c r="M116" s="2">
        <f>Table1[[#This Row],[Cost_Price]]*Table1[[#This Row],[Quantity_Sold]]</f>
        <v>21429</v>
      </c>
      <c r="N116" s="2">
        <v>14247</v>
      </c>
      <c r="O116" s="5">
        <v>0.02</v>
      </c>
      <c r="P116" s="2">
        <v>42741</v>
      </c>
      <c r="Q116" s="2">
        <v>21312</v>
      </c>
      <c r="R116">
        <v>5</v>
      </c>
    </row>
    <row r="117" spans="1:18" x14ac:dyDescent="0.25">
      <c r="A117" t="s">
        <v>314</v>
      </c>
      <c r="B117" s="1">
        <v>45748</v>
      </c>
      <c r="C117" t="s">
        <v>71</v>
      </c>
      <c r="D117" t="s">
        <v>72</v>
      </c>
      <c r="E117" t="s">
        <v>64</v>
      </c>
      <c r="F117" t="s">
        <v>92</v>
      </c>
      <c r="G117" t="s">
        <v>25</v>
      </c>
      <c r="H117" t="s">
        <v>45</v>
      </c>
      <c r="I117" t="s">
        <v>103</v>
      </c>
      <c r="J117" t="s">
        <v>36</v>
      </c>
      <c r="K117">
        <v>2</v>
      </c>
      <c r="L117" s="2">
        <v>10802</v>
      </c>
      <c r="M117" s="2">
        <f>Table1[[#This Row],[Cost_Price]]*Table1[[#This Row],[Quantity_Sold]]</f>
        <v>21604</v>
      </c>
      <c r="N117" s="2">
        <v>12892</v>
      </c>
      <c r="O117" s="5">
        <v>0</v>
      </c>
      <c r="P117" s="2">
        <v>25784</v>
      </c>
      <c r="Q117" s="2">
        <v>4180</v>
      </c>
      <c r="R117" s="3" t="s">
        <v>1110</v>
      </c>
    </row>
    <row r="118" spans="1:18" x14ac:dyDescent="0.25">
      <c r="A118" t="s">
        <v>434</v>
      </c>
      <c r="B118" s="1">
        <v>45764</v>
      </c>
      <c r="C118" t="s">
        <v>241</v>
      </c>
      <c r="D118" t="s">
        <v>1109</v>
      </c>
      <c r="E118" t="s">
        <v>22</v>
      </c>
      <c r="F118" t="s">
        <v>23</v>
      </c>
      <c r="G118" t="s">
        <v>25</v>
      </c>
      <c r="H118" t="s">
        <v>26</v>
      </c>
      <c r="I118" t="s">
        <v>103</v>
      </c>
      <c r="J118" t="s">
        <v>54</v>
      </c>
      <c r="K118">
        <v>4</v>
      </c>
      <c r="L118" s="2">
        <v>9902</v>
      </c>
      <c r="M118" s="2">
        <f>Table1[[#This Row],[Cost_Price]]*Table1[[#This Row],[Quantity_Sold]]</f>
        <v>39608</v>
      </c>
      <c r="N118" s="2">
        <v>11675</v>
      </c>
      <c r="O118" s="5">
        <v>0.04</v>
      </c>
      <c r="P118" s="2">
        <v>46700</v>
      </c>
      <c r="Q118" s="2">
        <v>7092</v>
      </c>
      <c r="R118">
        <v>2</v>
      </c>
    </row>
    <row r="119" spans="1:18" x14ac:dyDescent="0.25">
      <c r="A119" t="s">
        <v>554</v>
      </c>
      <c r="B119" s="1">
        <v>45397</v>
      </c>
      <c r="C119" t="s">
        <v>241</v>
      </c>
      <c r="D119" t="s">
        <v>1109</v>
      </c>
      <c r="E119" t="s">
        <v>22</v>
      </c>
      <c r="F119" t="s">
        <v>23</v>
      </c>
      <c r="G119" t="s">
        <v>44</v>
      </c>
      <c r="H119" t="s">
        <v>45</v>
      </c>
      <c r="I119" t="s">
        <v>58</v>
      </c>
      <c r="J119" t="s">
        <v>28</v>
      </c>
      <c r="K119">
        <v>6</v>
      </c>
      <c r="L119" s="2">
        <v>7426</v>
      </c>
      <c r="M119" s="2">
        <f>Table1[[#This Row],[Cost_Price]]*Table1[[#This Row],[Quantity_Sold]]</f>
        <v>44556</v>
      </c>
      <c r="N119" s="2">
        <v>9526</v>
      </c>
      <c r="O119" s="5">
        <v>0.05</v>
      </c>
      <c r="P119" s="2">
        <v>57156</v>
      </c>
      <c r="Q119" s="2">
        <v>12600</v>
      </c>
      <c r="R119">
        <v>2</v>
      </c>
    </row>
    <row r="120" spans="1:18" x14ac:dyDescent="0.25">
      <c r="A120" t="s">
        <v>869</v>
      </c>
      <c r="B120" s="1">
        <v>45429</v>
      </c>
      <c r="C120" t="s">
        <v>71</v>
      </c>
      <c r="D120" t="s">
        <v>72</v>
      </c>
      <c r="E120" t="s">
        <v>64</v>
      </c>
      <c r="F120" t="s">
        <v>23</v>
      </c>
      <c r="G120" t="s">
        <v>25</v>
      </c>
      <c r="H120" t="s">
        <v>45</v>
      </c>
      <c r="I120" t="s">
        <v>120</v>
      </c>
      <c r="J120" t="s">
        <v>28</v>
      </c>
      <c r="K120">
        <v>6</v>
      </c>
      <c r="L120" s="2">
        <v>4072</v>
      </c>
      <c r="M120" s="2">
        <f>Table1[[#This Row],[Cost_Price]]*Table1[[#This Row],[Quantity_Sold]]</f>
        <v>24432</v>
      </c>
      <c r="N120" s="2">
        <v>8580</v>
      </c>
      <c r="O120" s="5">
        <v>0</v>
      </c>
      <c r="P120" s="2">
        <v>51480</v>
      </c>
      <c r="Q120" s="2">
        <v>27048</v>
      </c>
      <c r="R120">
        <v>1</v>
      </c>
    </row>
    <row r="121" spans="1:18" x14ac:dyDescent="0.25">
      <c r="A121" t="s">
        <v>496</v>
      </c>
      <c r="B121" s="1">
        <v>45373</v>
      </c>
      <c r="C121" t="s">
        <v>77</v>
      </c>
      <c r="D121" t="s">
        <v>78</v>
      </c>
      <c r="E121" t="s">
        <v>64</v>
      </c>
      <c r="F121" t="s">
        <v>73</v>
      </c>
      <c r="G121" t="s">
        <v>44</v>
      </c>
      <c r="H121" t="s">
        <v>26</v>
      </c>
      <c r="I121" t="s">
        <v>103</v>
      </c>
      <c r="J121" t="s">
        <v>28</v>
      </c>
      <c r="K121">
        <v>6</v>
      </c>
      <c r="L121" s="2">
        <v>1106</v>
      </c>
      <c r="M121" s="2">
        <f>Table1[[#This Row],[Cost_Price]]*Table1[[#This Row],[Quantity_Sold]]</f>
        <v>6636</v>
      </c>
      <c r="N121" s="2">
        <v>8379</v>
      </c>
      <c r="O121" s="5">
        <v>0.04</v>
      </c>
      <c r="P121" s="2">
        <v>50274</v>
      </c>
      <c r="Q121" s="2">
        <v>43638</v>
      </c>
      <c r="R121">
        <v>1</v>
      </c>
    </row>
    <row r="122" spans="1:18" x14ac:dyDescent="0.25">
      <c r="A122" t="s">
        <v>18</v>
      </c>
      <c r="B122" s="1">
        <v>45436</v>
      </c>
      <c r="C122" t="s">
        <v>87</v>
      </c>
      <c r="D122" t="s">
        <v>88</v>
      </c>
      <c r="E122" t="s">
        <v>33</v>
      </c>
      <c r="F122" t="s">
        <v>42</v>
      </c>
      <c r="G122" t="s">
        <v>25</v>
      </c>
      <c r="H122" t="s">
        <v>45</v>
      </c>
      <c r="I122" t="s">
        <v>120</v>
      </c>
      <c r="J122" t="s">
        <v>28</v>
      </c>
      <c r="K122">
        <v>4</v>
      </c>
      <c r="L122" s="2">
        <v>6070</v>
      </c>
      <c r="M122" s="2">
        <f>Table1[[#This Row],[Cost_Price]]*Table1[[#This Row],[Quantity_Sold]]</f>
        <v>24280</v>
      </c>
      <c r="N122" s="2">
        <v>10527</v>
      </c>
      <c r="O122" s="5">
        <v>0</v>
      </c>
      <c r="P122" s="2">
        <v>42108</v>
      </c>
      <c r="Q122" s="2">
        <v>17828</v>
      </c>
      <c r="R122">
        <v>2</v>
      </c>
    </row>
    <row r="123" spans="1:18" x14ac:dyDescent="0.25">
      <c r="A123" t="s">
        <v>596</v>
      </c>
      <c r="B123" s="1">
        <v>45424</v>
      </c>
      <c r="C123" t="s">
        <v>20</v>
      </c>
      <c r="D123" t="s">
        <v>1107</v>
      </c>
      <c r="E123" t="s">
        <v>22</v>
      </c>
      <c r="F123" t="s">
        <v>98</v>
      </c>
      <c r="G123" t="s">
        <v>44</v>
      </c>
      <c r="H123" t="s">
        <v>45</v>
      </c>
      <c r="I123" t="s">
        <v>103</v>
      </c>
      <c r="J123" t="s">
        <v>36</v>
      </c>
      <c r="K123">
        <v>7</v>
      </c>
      <c r="L123" s="2">
        <v>6688</v>
      </c>
      <c r="M123" s="2">
        <f>Table1[[#This Row],[Cost_Price]]*Table1[[#This Row],[Quantity_Sold]]</f>
        <v>46816</v>
      </c>
      <c r="N123" s="2">
        <v>13459</v>
      </c>
      <c r="O123" s="5">
        <v>0.02</v>
      </c>
      <c r="P123" s="2">
        <v>94213</v>
      </c>
      <c r="Q123" s="2">
        <v>47397</v>
      </c>
      <c r="R123">
        <v>5</v>
      </c>
    </row>
    <row r="124" spans="1:18" x14ac:dyDescent="0.25">
      <c r="A124" t="s">
        <v>1124</v>
      </c>
      <c r="B124" s="1">
        <v>45773</v>
      </c>
      <c r="C124" t="s">
        <v>62</v>
      </c>
      <c r="D124" t="s">
        <v>63</v>
      </c>
      <c r="E124" t="s">
        <v>64</v>
      </c>
      <c r="F124" t="s">
        <v>23</v>
      </c>
      <c r="G124" t="s">
        <v>25</v>
      </c>
      <c r="H124" t="s">
        <v>35</v>
      </c>
      <c r="I124" t="s">
        <v>103</v>
      </c>
      <c r="J124" t="s">
        <v>54</v>
      </c>
      <c r="K124">
        <v>5</v>
      </c>
      <c r="L124" s="2">
        <v>14634</v>
      </c>
      <c r="M124" s="2">
        <f>Table1[[#This Row],[Cost_Price]]*Table1[[#This Row],[Quantity_Sold]]</f>
        <v>73170</v>
      </c>
      <c r="N124" s="2">
        <v>17653</v>
      </c>
      <c r="O124" s="5">
        <v>0.05</v>
      </c>
      <c r="P124" s="2">
        <v>88265</v>
      </c>
      <c r="Q124" s="2">
        <v>15095</v>
      </c>
      <c r="R124">
        <v>2</v>
      </c>
    </row>
    <row r="125" spans="1:18" x14ac:dyDescent="0.25">
      <c r="A125" t="s">
        <v>785</v>
      </c>
      <c r="B125" s="1">
        <v>45735</v>
      </c>
      <c r="C125" t="s">
        <v>71</v>
      </c>
      <c r="D125" t="s">
        <v>72</v>
      </c>
      <c r="E125" t="s">
        <v>64</v>
      </c>
      <c r="F125" t="s">
        <v>92</v>
      </c>
      <c r="G125" t="s">
        <v>44</v>
      </c>
      <c r="H125" t="s">
        <v>45</v>
      </c>
      <c r="I125" t="s">
        <v>103</v>
      </c>
      <c r="J125" t="s">
        <v>59</v>
      </c>
      <c r="K125">
        <v>8</v>
      </c>
      <c r="L125" s="2">
        <v>9798</v>
      </c>
      <c r="M125" s="2">
        <f>Table1[[#This Row],[Cost_Price]]*Table1[[#This Row],[Quantity_Sold]]</f>
        <v>78384</v>
      </c>
      <c r="N125" s="2">
        <v>13880</v>
      </c>
      <c r="O125" s="5">
        <v>0.05</v>
      </c>
      <c r="P125" s="2">
        <v>111040</v>
      </c>
      <c r="Q125" s="2">
        <v>32656</v>
      </c>
      <c r="R125">
        <v>3</v>
      </c>
    </row>
    <row r="126" spans="1:18" x14ac:dyDescent="0.25">
      <c r="A126" t="s">
        <v>1125</v>
      </c>
      <c r="B126" s="1">
        <v>45765</v>
      </c>
      <c r="C126" t="s">
        <v>106</v>
      </c>
      <c r="D126" t="s">
        <v>107</v>
      </c>
      <c r="E126" t="s">
        <v>41</v>
      </c>
      <c r="F126" t="s">
        <v>92</v>
      </c>
      <c r="G126" t="s">
        <v>25</v>
      </c>
      <c r="H126" t="s">
        <v>45</v>
      </c>
      <c r="I126" t="s">
        <v>120</v>
      </c>
      <c r="J126" t="s">
        <v>28</v>
      </c>
      <c r="K126">
        <v>8</v>
      </c>
      <c r="L126" s="2">
        <v>14557</v>
      </c>
      <c r="M126" s="2">
        <f>Table1[[#This Row],[Cost_Price]]*Table1[[#This Row],[Quantity_Sold]]</f>
        <v>116456</v>
      </c>
      <c r="N126" s="2">
        <v>21424</v>
      </c>
      <c r="O126" s="5">
        <v>0.02</v>
      </c>
      <c r="P126" s="2">
        <v>171392</v>
      </c>
      <c r="Q126" s="2">
        <v>54936</v>
      </c>
      <c r="R126">
        <v>5</v>
      </c>
    </row>
    <row r="127" spans="1:18" x14ac:dyDescent="0.25">
      <c r="A127" t="s">
        <v>933</v>
      </c>
      <c r="B127" s="1">
        <v>45693</v>
      </c>
      <c r="C127" t="s">
        <v>106</v>
      </c>
      <c r="D127" t="s">
        <v>107</v>
      </c>
      <c r="E127" t="s">
        <v>41</v>
      </c>
      <c r="F127" t="s">
        <v>1110</v>
      </c>
      <c r="G127" t="s">
        <v>44</v>
      </c>
      <c r="H127" t="s">
        <v>26</v>
      </c>
      <c r="I127" t="s">
        <v>103</v>
      </c>
      <c r="J127" t="s">
        <v>28</v>
      </c>
      <c r="K127">
        <v>3</v>
      </c>
      <c r="L127" s="2">
        <v>9416</v>
      </c>
      <c r="M127" s="2">
        <f>Table1[[#This Row],[Cost_Price]]*Table1[[#This Row],[Quantity_Sold]]</f>
        <v>28248</v>
      </c>
      <c r="N127" s="2">
        <v>13032</v>
      </c>
      <c r="O127" s="5">
        <v>0</v>
      </c>
      <c r="P127" s="2">
        <v>39096</v>
      </c>
      <c r="Q127" s="2">
        <v>10848</v>
      </c>
      <c r="R127">
        <v>3</v>
      </c>
    </row>
    <row r="128" spans="1:18" x14ac:dyDescent="0.25">
      <c r="A128" t="s">
        <v>1126</v>
      </c>
      <c r="B128" s="1">
        <v>45356</v>
      </c>
      <c r="C128" t="s">
        <v>20</v>
      </c>
      <c r="D128" t="s">
        <v>1107</v>
      </c>
      <c r="E128" t="s">
        <v>22</v>
      </c>
      <c r="F128" t="s">
        <v>23</v>
      </c>
      <c r="G128" t="s">
        <v>44</v>
      </c>
      <c r="H128" t="s">
        <v>26</v>
      </c>
      <c r="I128" t="s">
        <v>58</v>
      </c>
      <c r="J128" t="s">
        <v>36</v>
      </c>
      <c r="K128">
        <v>4</v>
      </c>
      <c r="L128" s="2">
        <v>3685</v>
      </c>
      <c r="M128" s="2">
        <f>Table1[[#This Row],[Cost_Price]]*Table1[[#This Row],[Quantity_Sold]]</f>
        <v>14740</v>
      </c>
      <c r="N128" s="2">
        <v>5905</v>
      </c>
      <c r="O128" s="5">
        <v>0.02</v>
      </c>
      <c r="P128" s="2">
        <v>23620</v>
      </c>
      <c r="Q128" s="2">
        <v>8880</v>
      </c>
      <c r="R128" s="3" t="s">
        <v>1110</v>
      </c>
    </row>
    <row r="129" spans="1:18" x14ac:dyDescent="0.25">
      <c r="A129" t="s">
        <v>181</v>
      </c>
      <c r="B129" s="1">
        <v>45551</v>
      </c>
      <c r="C129" t="s">
        <v>77</v>
      </c>
      <c r="D129" t="s">
        <v>78</v>
      </c>
      <c r="E129" t="s">
        <v>64</v>
      </c>
      <c r="F129" t="s">
        <v>92</v>
      </c>
      <c r="G129" t="s">
        <v>44</v>
      </c>
      <c r="H129" t="s">
        <v>45</v>
      </c>
      <c r="I129" t="s">
        <v>27</v>
      </c>
      <c r="J129" t="s">
        <v>36</v>
      </c>
      <c r="K129">
        <v>1</v>
      </c>
      <c r="L129" s="2">
        <v>2405</v>
      </c>
      <c r="M129" s="2">
        <f>Table1[[#This Row],[Cost_Price]]*Table1[[#This Row],[Quantity_Sold]]</f>
        <v>2405</v>
      </c>
      <c r="N129" s="2">
        <v>9986</v>
      </c>
      <c r="O129" s="5">
        <v>0.05</v>
      </c>
      <c r="P129" s="2">
        <v>9986</v>
      </c>
      <c r="Q129" s="2">
        <v>7581</v>
      </c>
      <c r="R129">
        <v>4</v>
      </c>
    </row>
    <row r="130" spans="1:18" x14ac:dyDescent="0.25">
      <c r="A130" t="s">
        <v>309</v>
      </c>
      <c r="B130" s="1">
        <v>45353</v>
      </c>
      <c r="C130" t="s">
        <v>71</v>
      </c>
      <c r="D130" t="s">
        <v>72</v>
      </c>
      <c r="E130" t="s">
        <v>64</v>
      </c>
      <c r="F130" t="s">
        <v>23</v>
      </c>
      <c r="G130" t="s">
        <v>25</v>
      </c>
      <c r="H130" t="s">
        <v>35</v>
      </c>
      <c r="I130" t="s">
        <v>103</v>
      </c>
      <c r="J130" t="s">
        <v>54</v>
      </c>
      <c r="K130">
        <v>7</v>
      </c>
      <c r="L130" s="2">
        <v>8542</v>
      </c>
      <c r="M130" s="2">
        <f>Table1[[#This Row],[Cost_Price]]*Table1[[#This Row],[Quantity_Sold]]</f>
        <v>59794</v>
      </c>
      <c r="N130" s="2">
        <v>14759</v>
      </c>
      <c r="O130" s="5">
        <v>0.1</v>
      </c>
      <c r="P130" s="2">
        <v>103313</v>
      </c>
      <c r="Q130" s="2">
        <v>43519</v>
      </c>
      <c r="R130">
        <v>2</v>
      </c>
    </row>
    <row r="131" spans="1:18" x14ac:dyDescent="0.25">
      <c r="A131" t="s">
        <v>427</v>
      </c>
      <c r="B131" s="1">
        <v>45403</v>
      </c>
      <c r="C131" t="s">
        <v>149</v>
      </c>
      <c r="D131" t="s">
        <v>150</v>
      </c>
      <c r="E131" t="s">
        <v>51</v>
      </c>
      <c r="F131" t="s">
        <v>73</v>
      </c>
      <c r="G131" t="s">
        <v>25</v>
      </c>
      <c r="H131" t="s">
        <v>26</v>
      </c>
      <c r="I131" t="s">
        <v>103</v>
      </c>
      <c r="J131" t="s">
        <v>28</v>
      </c>
      <c r="K131">
        <v>4</v>
      </c>
      <c r="L131" s="2">
        <v>9552</v>
      </c>
      <c r="M131" s="2">
        <f>Table1[[#This Row],[Cost_Price]]*Table1[[#This Row],[Quantity_Sold]]</f>
        <v>38208</v>
      </c>
      <c r="N131" s="2">
        <v>13060</v>
      </c>
      <c r="O131" s="5">
        <v>0.04</v>
      </c>
      <c r="P131" s="2">
        <v>52240</v>
      </c>
      <c r="Q131" s="2">
        <v>14032</v>
      </c>
      <c r="R131">
        <v>2</v>
      </c>
    </row>
    <row r="132" spans="1:18" x14ac:dyDescent="0.25">
      <c r="A132" t="s">
        <v>486</v>
      </c>
      <c r="B132" s="1">
        <v>45792</v>
      </c>
      <c r="C132" t="s">
        <v>216</v>
      </c>
      <c r="D132" t="s">
        <v>217</v>
      </c>
      <c r="E132" t="s">
        <v>33</v>
      </c>
      <c r="F132" t="s">
        <v>1110</v>
      </c>
      <c r="G132" t="s">
        <v>25</v>
      </c>
      <c r="H132" t="s">
        <v>26</v>
      </c>
      <c r="I132" t="s">
        <v>27</v>
      </c>
      <c r="J132" t="s">
        <v>36</v>
      </c>
      <c r="K132">
        <v>5</v>
      </c>
      <c r="L132" s="2">
        <v>10562</v>
      </c>
      <c r="M132" s="2">
        <f>Table1[[#This Row],[Cost_Price]]*Table1[[#This Row],[Quantity_Sold]]</f>
        <v>52810</v>
      </c>
      <c r="N132" s="2">
        <v>12184</v>
      </c>
      <c r="O132" s="5">
        <v>0.02</v>
      </c>
      <c r="P132" s="2">
        <v>60920</v>
      </c>
      <c r="Q132" s="2">
        <v>8110</v>
      </c>
      <c r="R132">
        <v>1</v>
      </c>
    </row>
    <row r="133" spans="1:18" x14ac:dyDescent="0.25">
      <c r="A133" t="s">
        <v>424</v>
      </c>
      <c r="B133" s="1">
        <v>45703</v>
      </c>
      <c r="C133" t="s">
        <v>49</v>
      </c>
      <c r="D133" t="s">
        <v>83</v>
      </c>
      <c r="E133" t="s">
        <v>51</v>
      </c>
      <c r="F133" t="s">
        <v>92</v>
      </c>
      <c r="G133" t="s">
        <v>25</v>
      </c>
      <c r="H133" t="s">
        <v>26</v>
      </c>
      <c r="I133" t="s">
        <v>103</v>
      </c>
      <c r="J133" t="s">
        <v>36</v>
      </c>
      <c r="K133">
        <v>3</v>
      </c>
      <c r="L133" s="2">
        <v>10231</v>
      </c>
      <c r="M133" s="2">
        <f>Table1[[#This Row],[Cost_Price]]*Table1[[#This Row],[Quantity_Sold]]</f>
        <v>30693</v>
      </c>
      <c r="N133" s="2">
        <v>13823</v>
      </c>
      <c r="O133" s="5">
        <v>0.05</v>
      </c>
      <c r="P133" s="2">
        <v>41469</v>
      </c>
      <c r="Q133" s="2">
        <v>10776</v>
      </c>
      <c r="R133">
        <v>4</v>
      </c>
    </row>
    <row r="134" spans="1:18" x14ac:dyDescent="0.25">
      <c r="A134" t="s">
        <v>1127</v>
      </c>
      <c r="B134" s="1">
        <v>45706</v>
      </c>
      <c r="C134" t="s">
        <v>241</v>
      </c>
      <c r="D134" t="s">
        <v>1109</v>
      </c>
      <c r="E134" t="s">
        <v>22</v>
      </c>
      <c r="F134" t="s">
        <v>1110</v>
      </c>
      <c r="G134" t="s">
        <v>25</v>
      </c>
      <c r="H134" t="s">
        <v>26</v>
      </c>
      <c r="I134" t="s">
        <v>103</v>
      </c>
      <c r="J134" t="s">
        <v>54</v>
      </c>
      <c r="K134">
        <v>7</v>
      </c>
      <c r="L134" s="2">
        <v>9329</v>
      </c>
      <c r="M134" s="2">
        <f>Table1[[#This Row],[Cost_Price]]*Table1[[#This Row],[Quantity_Sold]]</f>
        <v>65303</v>
      </c>
      <c r="N134" s="2">
        <v>10779</v>
      </c>
      <c r="O134" s="5">
        <v>0.04</v>
      </c>
      <c r="P134" s="2">
        <v>75453</v>
      </c>
      <c r="Q134" s="2">
        <v>10150</v>
      </c>
      <c r="R134">
        <v>3</v>
      </c>
    </row>
    <row r="135" spans="1:18" x14ac:dyDescent="0.25">
      <c r="A135" t="s">
        <v>795</v>
      </c>
      <c r="B135" s="1">
        <v>45757</v>
      </c>
      <c r="C135" t="s">
        <v>278</v>
      </c>
      <c r="D135" t="s">
        <v>279</v>
      </c>
      <c r="E135" t="s">
        <v>64</v>
      </c>
      <c r="F135" t="s">
        <v>23</v>
      </c>
      <c r="G135" t="s">
        <v>25</v>
      </c>
      <c r="H135" t="s">
        <v>45</v>
      </c>
      <c r="I135" t="s">
        <v>103</v>
      </c>
      <c r="J135" t="s">
        <v>54</v>
      </c>
      <c r="K135">
        <v>2</v>
      </c>
      <c r="L135" s="2">
        <v>10028</v>
      </c>
      <c r="M135" s="2">
        <f>Table1[[#This Row],[Cost_Price]]*Table1[[#This Row],[Quantity_Sold]]</f>
        <v>20056</v>
      </c>
      <c r="N135" s="2">
        <v>12614</v>
      </c>
      <c r="O135" s="5">
        <v>0.04</v>
      </c>
      <c r="P135" s="2">
        <v>25228</v>
      </c>
      <c r="Q135" s="2">
        <v>5172</v>
      </c>
      <c r="R135">
        <v>2</v>
      </c>
    </row>
    <row r="136" spans="1:18" x14ac:dyDescent="0.25">
      <c r="A136" t="s">
        <v>514</v>
      </c>
      <c r="B136" s="1">
        <v>45418</v>
      </c>
      <c r="C136" t="s">
        <v>106</v>
      </c>
      <c r="D136" t="s">
        <v>107</v>
      </c>
      <c r="E136" t="s">
        <v>41</v>
      </c>
      <c r="F136" t="s">
        <v>42</v>
      </c>
      <c r="G136" t="s">
        <v>44</v>
      </c>
      <c r="H136" t="s">
        <v>35</v>
      </c>
      <c r="I136" t="s">
        <v>103</v>
      </c>
      <c r="J136" t="s">
        <v>54</v>
      </c>
      <c r="K136">
        <v>4</v>
      </c>
      <c r="L136" s="2">
        <v>9880</v>
      </c>
      <c r="M136" s="2">
        <f>Table1[[#This Row],[Cost_Price]]*Table1[[#This Row],[Quantity_Sold]]</f>
        <v>39520</v>
      </c>
      <c r="N136" s="2">
        <v>11452</v>
      </c>
      <c r="O136" s="5">
        <v>0.02</v>
      </c>
      <c r="P136" s="2">
        <v>45808</v>
      </c>
      <c r="Q136" s="2">
        <v>6288</v>
      </c>
      <c r="R136" s="3" t="s">
        <v>1110</v>
      </c>
    </row>
    <row r="137" spans="1:18" x14ac:dyDescent="0.25">
      <c r="A137" t="s">
        <v>1128</v>
      </c>
      <c r="B137" s="1">
        <v>45566</v>
      </c>
      <c r="C137" t="s">
        <v>71</v>
      </c>
      <c r="D137" t="s">
        <v>72</v>
      </c>
      <c r="E137" t="s">
        <v>64</v>
      </c>
      <c r="F137" t="s">
        <v>92</v>
      </c>
      <c r="G137" t="s">
        <v>44</v>
      </c>
      <c r="H137" t="s">
        <v>35</v>
      </c>
      <c r="I137" t="s">
        <v>120</v>
      </c>
      <c r="J137" t="s">
        <v>36</v>
      </c>
      <c r="K137">
        <v>1</v>
      </c>
      <c r="L137" s="2">
        <v>10464</v>
      </c>
      <c r="M137" s="2">
        <f>Table1[[#This Row],[Cost_Price]]*Table1[[#This Row],[Quantity_Sold]]</f>
        <v>10464</v>
      </c>
      <c r="N137" s="2">
        <v>15907</v>
      </c>
      <c r="O137" s="5">
        <v>0.04</v>
      </c>
      <c r="P137" s="2">
        <v>15907</v>
      </c>
      <c r="Q137" s="2">
        <v>5443</v>
      </c>
      <c r="R137">
        <v>1</v>
      </c>
    </row>
    <row r="138" spans="1:18" x14ac:dyDescent="0.25">
      <c r="A138" t="s">
        <v>863</v>
      </c>
      <c r="B138" s="1">
        <v>45771</v>
      </c>
      <c r="C138" t="s">
        <v>62</v>
      </c>
      <c r="D138" t="s">
        <v>63</v>
      </c>
      <c r="E138" t="s">
        <v>64</v>
      </c>
      <c r="F138" t="s">
        <v>73</v>
      </c>
      <c r="G138" t="s">
        <v>25</v>
      </c>
      <c r="H138" t="s">
        <v>35</v>
      </c>
      <c r="I138" t="s">
        <v>103</v>
      </c>
      <c r="J138" t="s">
        <v>59</v>
      </c>
      <c r="K138">
        <v>8</v>
      </c>
      <c r="L138" s="2">
        <v>4632</v>
      </c>
      <c r="M138" s="2">
        <f>Table1[[#This Row],[Cost_Price]]*Table1[[#This Row],[Quantity_Sold]]</f>
        <v>37056</v>
      </c>
      <c r="N138" s="2">
        <v>6847</v>
      </c>
      <c r="O138" s="5">
        <v>0.02</v>
      </c>
      <c r="P138" s="2">
        <v>54776</v>
      </c>
      <c r="Q138" s="2">
        <v>17720</v>
      </c>
      <c r="R138" s="3" t="s">
        <v>1110</v>
      </c>
    </row>
    <row r="139" spans="1:18" x14ac:dyDescent="0.25">
      <c r="A139" t="s">
        <v>606</v>
      </c>
      <c r="B139" s="1">
        <v>45741</v>
      </c>
      <c r="C139" t="s">
        <v>106</v>
      </c>
      <c r="D139" t="s">
        <v>107</v>
      </c>
      <c r="E139" t="s">
        <v>41</v>
      </c>
      <c r="F139" t="s">
        <v>73</v>
      </c>
      <c r="G139" t="s">
        <v>25</v>
      </c>
      <c r="H139" t="s">
        <v>35</v>
      </c>
      <c r="I139" t="s">
        <v>120</v>
      </c>
      <c r="J139" t="s">
        <v>36</v>
      </c>
      <c r="K139">
        <v>6</v>
      </c>
      <c r="L139" s="2">
        <v>3629</v>
      </c>
      <c r="M139" s="2">
        <f>Table1[[#This Row],[Cost_Price]]*Table1[[#This Row],[Quantity_Sold]]</f>
        <v>21774</v>
      </c>
      <c r="N139" s="2">
        <v>6247</v>
      </c>
      <c r="O139" s="5">
        <v>0.1</v>
      </c>
      <c r="P139" s="2">
        <v>37482</v>
      </c>
      <c r="Q139" s="2">
        <v>15708</v>
      </c>
      <c r="R139">
        <v>3</v>
      </c>
    </row>
    <row r="140" spans="1:18" x14ac:dyDescent="0.25">
      <c r="A140" t="s">
        <v>186</v>
      </c>
      <c r="B140" s="1">
        <v>45638</v>
      </c>
      <c r="C140" t="s">
        <v>31</v>
      </c>
      <c r="D140" t="s">
        <v>32</v>
      </c>
      <c r="E140" t="s">
        <v>33</v>
      </c>
      <c r="F140" t="s">
        <v>1110</v>
      </c>
      <c r="G140" t="s">
        <v>44</v>
      </c>
      <c r="H140" t="s">
        <v>35</v>
      </c>
      <c r="I140" t="s">
        <v>103</v>
      </c>
      <c r="J140" t="s">
        <v>59</v>
      </c>
      <c r="K140">
        <v>8</v>
      </c>
      <c r="L140" s="2">
        <v>8002</v>
      </c>
      <c r="M140" s="2">
        <f>Table1[[#This Row],[Cost_Price]]*Table1[[#This Row],[Quantity_Sold]]</f>
        <v>64016</v>
      </c>
      <c r="N140" s="2">
        <v>9672</v>
      </c>
      <c r="O140" s="5">
        <v>0</v>
      </c>
      <c r="P140" s="2">
        <v>77376</v>
      </c>
      <c r="Q140" s="2">
        <v>13360</v>
      </c>
      <c r="R140">
        <v>2</v>
      </c>
    </row>
    <row r="141" spans="1:18" x14ac:dyDescent="0.25">
      <c r="A141" t="s">
        <v>1129</v>
      </c>
      <c r="B141" s="1">
        <v>45468</v>
      </c>
      <c r="C141" t="s">
        <v>77</v>
      </c>
      <c r="D141" t="s">
        <v>78</v>
      </c>
      <c r="E141" t="s">
        <v>64</v>
      </c>
      <c r="F141" t="s">
        <v>98</v>
      </c>
      <c r="G141" t="s">
        <v>25</v>
      </c>
      <c r="H141" t="s">
        <v>26</v>
      </c>
      <c r="I141" t="s">
        <v>58</v>
      </c>
      <c r="J141" t="s">
        <v>28</v>
      </c>
      <c r="K141">
        <v>2</v>
      </c>
      <c r="L141" s="2">
        <v>14226</v>
      </c>
      <c r="M141" s="2">
        <f>Table1[[#This Row],[Cost_Price]]*Table1[[#This Row],[Quantity_Sold]]</f>
        <v>28452</v>
      </c>
      <c r="N141" s="2">
        <v>18831</v>
      </c>
      <c r="O141" s="5">
        <v>0.02</v>
      </c>
      <c r="P141" s="2">
        <v>37662</v>
      </c>
      <c r="Q141" s="2">
        <v>9210</v>
      </c>
      <c r="R141">
        <v>2</v>
      </c>
    </row>
    <row r="142" spans="1:18" x14ac:dyDescent="0.25">
      <c r="A142" t="s">
        <v>224</v>
      </c>
      <c r="B142" s="1">
        <v>45481</v>
      </c>
      <c r="C142" t="s">
        <v>106</v>
      </c>
      <c r="D142" t="s">
        <v>107</v>
      </c>
      <c r="E142" t="s">
        <v>41</v>
      </c>
      <c r="F142" t="s">
        <v>1110</v>
      </c>
      <c r="G142" t="s">
        <v>44</v>
      </c>
      <c r="H142" t="s">
        <v>45</v>
      </c>
      <c r="I142" t="s">
        <v>103</v>
      </c>
      <c r="J142" t="s">
        <v>59</v>
      </c>
      <c r="K142">
        <v>5</v>
      </c>
      <c r="L142" s="2">
        <v>7819</v>
      </c>
      <c r="M142" s="2">
        <f>Table1[[#This Row],[Cost_Price]]*Table1[[#This Row],[Quantity_Sold]]</f>
        <v>39095</v>
      </c>
      <c r="N142" s="2">
        <v>15521</v>
      </c>
      <c r="O142" s="5">
        <v>0.04</v>
      </c>
      <c r="P142" s="2">
        <v>77605</v>
      </c>
      <c r="Q142" s="2">
        <v>38510</v>
      </c>
      <c r="R142">
        <v>5</v>
      </c>
    </row>
    <row r="143" spans="1:18" x14ac:dyDescent="0.25">
      <c r="A143" t="s">
        <v>66</v>
      </c>
      <c r="B143" s="1">
        <v>45306</v>
      </c>
      <c r="C143" t="s">
        <v>87</v>
      </c>
      <c r="D143" t="s">
        <v>88</v>
      </c>
      <c r="E143" t="s">
        <v>33</v>
      </c>
      <c r="F143" t="s">
        <v>42</v>
      </c>
      <c r="G143" t="s">
        <v>25</v>
      </c>
      <c r="H143" t="s">
        <v>45</v>
      </c>
      <c r="I143" t="s">
        <v>103</v>
      </c>
      <c r="J143" t="s">
        <v>59</v>
      </c>
      <c r="K143">
        <v>4</v>
      </c>
      <c r="L143" s="2">
        <v>10651</v>
      </c>
      <c r="M143" s="2">
        <f>Table1[[#This Row],[Cost_Price]]*Table1[[#This Row],[Quantity_Sold]]</f>
        <v>42604</v>
      </c>
      <c r="N143" s="2">
        <v>13764</v>
      </c>
      <c r="O143" s="5">
        <v>0.05</v>
      </c>
      <c r="P143" s="2">
        <v>55056</v>
      </c>
      <c r="Q143" s="2">
        <v>12452</v>
      </c>
      <c r="R143">
        <v>3</v>
      </c>
    </row>
    <row r="144" spans="1:18" x14ac:dyDescent="0.25">
      <c r="A144" t="s">
        <v>144</v>
      </c>
      <c r="B144" s="1">
        <v>45442</v>
      </c>
      <c r="C144" t="s">
        <v>106</v>
      </c>
      <c r="D144" t="s">
        <v>107</v>
      </c>
      <c r="E144" t="s">
        <v>41</v>
      </c>
      <c r="F144" t="s">
        <v>42</v>
      </c>
      <c r="G144" t="s">
        <v>44</v>
      </c>
      <c r="H144" t="s">
        <v>26</v>
      </c>
      <c r="I144" t="s">
        <v>103</v>
      </c>
      <c r="J144" t="s">
        <v>54</v>
      </c>
      <c r="K144">
        <v>8</v>
      </c>
      <c r="L144" s="2">
        <v>2823</v>
      </c>
      <c r="M144" s="2">
        <f>Table1[[#This Row],[Cost_Price]]*Table1[[#This Row],[Quantity_Sold]]</f>
        <v>22584</v>
      </c>
      <c r="N144" s="2">
        <v>9977</v>
      </c>
      <c r="O144" s="5">
        <v>0.1</v>
      </c>
      <c r="P144" s="2">
        <v>79816</v>
      </c>
      <c r="Q144" s="2">
        <v>57232</v>
      </c>
      <c r="R144">
        <v>3</v>
      </c>
    </row>
    <row r="145" spans="1:18" x14ac:dyDescent="0.25">
      <c r="A145" t="s">
        <v>1130</v>
      </c>
      <c r="B145" s="1">
        <v>45356</v>
      </c>
      <c r="C145" t="s">
        <v>131</v>
      </c>
      <c r="D145" t="s">
        <v>132</v>
      </c>
      <c r="E145" t="s">
        <v>64</v>
      </c>
      <c r="F145" t="s">
        <v>92</v>
      </c>
      <c r="G145" t="s">
        <v>25</v>
      </c>
      <c r="H145" t="s">
        <v>45</v>
      </c>
      <c r="I145" t="s">
        <v>103</v>
      </c>
      <c r="J145" t="s">
        <v>28</v>
      </c>
      <c r="K145">
        <v>1</v>
      </c>
      <c r="L145" s="2">
        <v>14237</v>
      </c>
      <c r="M145" s="2">
        <f>Table1[[#This Row],[Cost_Price]]*Table1[[#This Row],[Quantity_Sold]]</f>
        <v>14237</v>
      </c>
      <c r="N145" s="2">
        <v>18207</v>
      </c>
      <c r="O145" s="5">
        <v>0.1</v>
      </c>
      <c r="P145" s="2">
        <v>18207</v>
      </c>
      <c r="Q145" s="2">
        <v>3970</v>
      </c>
      <c r="R145">
        <v>2</v>
      </c>
    </row>
    <row r="146" spans="1:18" x14ac:dyDescent="0.25">
      <c r="A146" t="s">
        <v>1131</v>
      </c>
      <c r="B146" s="1">
        <v>45713</v>
      </c>
      <c r="C146" t="s">
        <v>141</v>
      </c>
      <c r="D146" t="s">
        <v>142</v>
      </c>
      <c r="E146" t="s">
        <v>51</v>
      </c>
      <c r="F146" t="s">
        <v>1110</v>
      </c>
      <c r="G146" t="s">
        <v>44</v>
      </c>
      <c r="H146" t="s">
        <v>35</v>
      </c>
      <c r="I146" t="s">
        <v>120</v>
      </c>
      <c r="J146" t="s">
        <v>28</v>
      </c>
      <c r="K146">
        <v>3</v>
      </c>
      <c r="L146" s="2">
        <v>7108</v>
      </c>
      <c r="M146" s="2">
        <f>Table1[[#This Row],[Cost_Price]]*Table1[[#This Row],[Quantity_Sold]]</f>
        <v>21324</v>
      </c>
      <c r="N146" s="2">
        <v>10070</v>
      </c>
      <c r="O146" s="5">
        <v>0.02</v>
      </c>
      <c r="P146" s="2">
        <v>30210</v>
      </c>
      <c r="Q146" s="2">
        <v>8886</v>
      </c>
      <c r="R146" s="3" t="s">
        <v>1110</v>
      </c>
    </row>
    <row r="147" spans="1:18" x14ac:dyDescent="0.25">
      <c r="A147" t="s">
        <v>682</v>
      </c>
      <c r="B147" s="1">
        <v>45338</v>
      </c>
      <c r="C147" t="s">
        <v>149</v>
      </c>
      <c r="D147" t="s">
        <v>150</v>
      </c>
      <c r="E147" t="s">
        <v>51</v>
      </c>
      <c r="F147" t="s">
        <v>98</v>
      </c>
      <c r="G147" t="s">
        <v>44</v>
      </c>
      <c r="H147" t="s">
        <v>35</v>
      </c>
      <c r="I147" t="s">
        <v>103</v>
      </c>
      <c r="J147" t="s">
        <v>59</v>
      </c>
      <c r="K147">
        <v>8</v>
      </c>
      <c r="L147" s="2">
        <v>11874</v>
      </c>
      <c r="M147" s="2">
        <f>Table1[[#This Row],[Cost_Price]]*Table1[[#This Row],[Quantity_Sold]]</f>
        <v>94992</v>
      </c>
      <c r="N147" s="2">
        <v>19654</v>
      </c>
      <c r="O147" s="5">
        <v>0.1</v>
      </c>
      <c r="P147" s="2">
        <v>157232</v>
      </c>
      <c r="Q147" s="2">
        <v>62240</v>
      </c>
      <c r="R147">
        <v>3</v>
      </c>
    </row>
    <row r="148" spans="1:18" x14ac:dyDescent="0.25">
      <c r="A148" t="s">
        <v>531</v>
      </c>
      <c r="B148" s="1">
        <v>45695</v>
      </c>
      <c r="C148" t="s">
        <v>216</v>
      </c>
      <c r="D148" t="s">
        <v>217</v>
      </c>
      <c r="E148" t="s">
        <v>33</v>
      </c>
      <c r="F148" t="s">
        <v>92</v>
      </c>
      <c r="G148" t="s">
        <v>25</v>
      </c>
      <c r="H148" t="s">
        <v>45</v>
      </c>
      <c r="I148" t="s">
        <v>58</v>
      </c>
      <c r="J148" t="s">
        <v>28</v>
      </c>
      <c r="K148">
        <v>6</v>
      </c>
      <c r="L148" s="2">
        <v>10155</v>
      </c>
      <c r="M148" s="2">
        <f>Table1[[#This Row],[Cost_Price]]*Table1[[#This Row],[Quantity_Sold]]</f>
        <v>60930</v>
      </c>
      <c r="N148" s="2">
        <v>14180</v>
      </c>
      <c r="O148" s="5">
        <v>0.02</v>
      </c>
      <c r="P148" s="2">
        <v>85080</v>
      </c>
      <c r="Q148" s="2">
        <v>24150</v>
      </c>
      <c r="R148">
        <v>5</v>
      </c>
    </row>
    <row r="149" spans="1:18" x14ac:dyDescent="0.25">
      <c r="A149" t="s">
        <v>804</v>
      </c>
      <c r="B149" s="1">
        <v>45642</v>
      </c>
      <c r="C149" t="s">
        <v>39</v>
      </c>
      <c r="D149" t="s">
        <v>1108</v>
      </c>
      <c r="E149" t="s">
        <v>41</v>
      </c>
      <c r="F149" t="s">
        <v>23</v>
      </c>
      <c r="G149" t="s">
        <v>44</v>
      </c>
      <c r="H149" t="s">
        <v>26</v>
      </c>
      <c r="I149" t="s">
        <v>120</v>
      </c>
      <c r="J149" t="s">
        <v>59</v>
      </c>
      <c r="K149">
        <v>6</v>
      </c>
      <c r="L149" s="2">
        <v>13611</v>
      </c>
      <c r="M149" s="2">
        <f>Table1[[#This Row],[Cost_Price]]*Table1[[#This Row],[Quantity_Sold]]</f>
        <v>81666</v>
      </c>
      <c r="N149" s="2">
        <v>17207</v>
      </c>
      <c r="O149" s="5">
        <v>0.1</v>
      </c>
      <c r="P149" s="2">
        <v>103242</v>
      </c>
      <c r="Q149" s="2">
        <v>21576</v>
      </c>
      <c r="R149" s="3" t="s">
        <v>1110</v>
      </c>
    </row>
    <row r="150" spans="1:18" x14ac:dyDescent="0.25">
      <c r="A150" t="s">
        <v>1132</v>
      </c>
      <c r="B150" s="1">
        <v>45726</v>
      </c>
      <c r="C150" t="s">
        <v>141</v>
      </c>
      <c r="D150" t="s">
        <v>142</v>
      </c>
      <c r="E150" t="s">
        <v>51</v>
      </c>
      <c r="F150" t="s">
        <v>92</v>
      </c>
      <c r="G150" t="s">
        <v>25</v>
      </c>
      <c r="H150" t="s">
        <v>26</v>
      </c>
      <c r="I150" t="s">
        <v>120</v>
      </c>
      <c r="J150" t="s">
        <v>54</v>
      </c>
      <c r="K150">
        <v>6</v>
      </c>
      <c r="L150" s="2">
        <v>13844</v>
      </c>
      <c r="M150" s="2">
        <f>Table1[[#This Row],[Cost_Price]]*Table1[[#This Row],[Quantity_Sold]]</f>
        <v>83064</v>
      </c>
      <c r="N150" s="2">
        <v>19389</v>
      </c>
      <c r="O150" s="5">
        <v>0</v>
      </c>
      <c r="P150" s="2">
        <v>116334</v>
      </c>
      <c r="Q150" s="2">
        <v>33270</v>
      </c>
      <c r="R150">
        <v>2</v>
      </c>
    </row>
    <row r="151" spans="1:18" x14ac:dyDescent="0.25">
      <c r="A151" t="s">
        <v>710</v>
      </c>
      <c r="B151" s="1">
        <v>45312</v>
      </c>
      <c r="C151" t="s">
        <v>278</v>
      </c>
      <c r="D151" t="s">
        <v>279</v>
      </c>
      <c r="E151" t="s">
        <v>64</v>
      </c>
      <c r="F151" t="s">
        <v>23</v>
      </c>
      <c r="G151" t="s">
        <v>25</v>
      </c>
      <c r="H151" t="s">
        <v>26</v>
      </c>
      <c r="I151" t="s">
        <v>103</v>
      </c>
      <c r="J151" t="s">
        <v>59</v>
      </c>
      <c r="K151">
        <v>8</v>
      </c>
      <c r="L151" s="2">
        <v>11467</v>
      </c>
      <c r="M151" s="2">
        <f>Table1[[#This Row],[Cost_Price]]*Table1[[#This Row],[Quantity_Sold]]</f>
        <v>91736</v>
      </c>
      <c r="N151" s="2">
        <v>15185</v>
      </c>
      <c r="O151" s="5">
        <v>0</v>
      </c>
      <c r="P151" s="2">
        <v>121480</v>
      </c>
      <c r="Q151" s="2">
        <v>29744</v>
      </c>
      <c r="R151">
        <v>2</v>
      </c>
    </row>
    <row r="152" spans="1:18" x14ac:dyDescent="0.25">
      <c r="A152" t="s">
        <v>519</v>
      </c>
      <c r="B152" s="1">
        <v>45517</v>
      </c>
      <c r="C152" t="s">
        <v>216</v>
      </c>
      <c r="D152" t="s">
        <v>217</v>
      </c>
      <c r="E152" t="s">
        <v>33</v>
      </c>
      <c r="F152" t="s">
        <v>23</v>
      </c>
      <c r="G152" t="s">
        <v>25</v>
      </c>
      <c r="H152" t="s">
        <v>26</v>
      </c>
      <c r="I152" t="s">
        <v>103</v>
      </c>
      <c r="J152" t="s">
        <v>36</v>
      </c>
      <c r="K152">
        <v>4</v>
      </c>
      <c r="L152" s="2">
        <v>2015</v>
      </c>
      <c r="M152" s="2">
        <f>Table1[[#This Row],[Cost_Price]]*Table1[[#This Row],[Quantity_Sold]]</f>
        <v>8060</v>
      </c>
      <c r="N152" s="2">
        <v>6120</v>
      </c>
      <c r="O152" s="5">
        <v>0.04</v>
      </c>
      <c r="P152" s="2">
        <v>24480</v>
      </c>
      <c r="Q152" s="2">
        <v>16420</v>
      </c>
      <c r="R152">
        <v>4</v>
      </c>
    </row>
    <row r="153" spans="1:18" x14ac:dyDescent="0.25">
      <c r="A153" t="s">
        <v>537</v>
      </c>
      <c r="B153" s="1">
        <v>45446</v>
      </c>
      <c r="C153" t="s">
        <v>96</v>
      </c>
      <c r="D153" t="s">
        <v>97</v>
      </c>
      <c r="E153" t="s">
        <v>51</v>
      </c>
      <c r="F153" t="s">
        <v>1110</v>
      </c>
      <c r="G153" t="s">
        <v>44</v>
      </c>
      <c r="H153" t="s">
        <v>45</v>
      </c>
      <c r="I153" t="s">
        <v>120</v>
      </c>
      <c r="J153" t="s">
        <v>59</v>
      </c>
      <c r="K153">
        <v>7</v>
      </c>
      <c r="L153" s="2">
        <v>6434</v>
      </c>
      <c r="M153" s="2">
        <f>Table1[[#This Row],[Cost_Price]]*Table1[[#This Row],[Quantity_Sold]]</f>
        <v>45038</v>
      </c>
      <c r="N153" s="2">
        <v>11543</v>
      </c>
      <c r="O153" s="5">
        <v>0</v>
      </c>
      <c r="P153" s="2">
        <v>80801</v>
      </c>
      <c r="Q153" s="2">
        <v>35763</v>
      </c>
      <c r="R153">
        <v>1</v>
      </c>
    </row>
    <row r="154" spans="1:18" x14ac:dyDescent="0.25">
      <c r="A154" t="s">
        <v>230</v>
      </c>
      <c r="B154" s="1">
        <v>45497</v>
      </c>
      <c r="C154" t="s">
        <v>131</v>
      </c>
      <c r="D154" t="s">
        <v>132</v>
      </c>
      <c r="E154" t="s">
        <v>64</v>
      </c>
      <c r="F154" t="s">
        <v>98</v>
      </c>
      <c r="G154" t="s">
        <v>25</v>
      </c>
      <c r="H154" t="s">
        <v>45</v>
      </c>
      <c r="I154" t="s">
        <v>27</v>
      </c>
      <c r="J154" t="s">
        <v>59</v>
      </c>
      <c r="K154">
        <v>2</v>
      </c>
      <c r="L154" s="2">
        <v>6204</v>
      </c>
      <c r="M154" s="2">
        <f>Table1[[#This Row],[Cost_Price]]*Table1[[#This Row],[Quantity_Sold]]</f>
        <v>12408</v>
      </c>
      <c r="N154" s="2">
        <v>12143</v>
      </c>
      <c r="O154" s="5">
        <v>0</v>
      </c>
      <c r="P154" s="2">
        <v>24286</v>
      </c>
      <c r="Q154" s="2">
        <v>11878</v>
      </c>
      <c r="R154">
        <v>5</v>
      </c>
    </row>
    <row r="155" spans="1:18" x14ac:dyDescent="0.25">
      <c r="A155" t="s">
        <v>1133</v>
      </c>
      <c r="B155" s="1">
        <v>45406</v>
      </c>
      <c r="C155" t="s">
        <v>149</v>
      </c>
      <c r="D155" t="s">
        <v>150</v>
      </c>
      <c r="E155" t="s">
        <v>51</v>
      </c>
      <c r="F155" t="s">
        <v>42</v>
      </c>
      <c r="G155" t="s">
        <v>44</v>
      </c>
      <c r="H155" t="s">
        <v>45</v>
      </c>
      <c r="I155" t="s">
        <v>120</v>
      </c>
      <c r="J155" t="s">
        <v>36</v>
      </c>
      <c r="K155">
        <v>8</v>
      </c>
      <c r="L155" s="2">
        <v>1150</v>
      </c>
      <c r="M155" s="2">
        <f>Table1[[#This Row],[Cost_Price]]*Table1[[#This Row],[Quantity_Sold]]</f>
        <v>9200</v>
      </c>
      <c r="N155" s="2">
        <v>8966</v>
      </c>
      <c r="O155" s="5">
        <v>0.1</v>
      </c>
      <c r="P155" s="2">
        <v>71728</v>
      </c>
      <c r="Q155" s="2">
        <v>62528</v>
      </c>
      <c r="R155">
        <v>5</v>
      </c>
    </row>
    <row r="156" spans="1:18" x14ac:dyDescent="0.25">
      <c r="A156" t="s">
        <v>69</v>
      </c>
      <c r="B156" s="1">
        <v>45489</v>
      </c>
      <c r="C156" t="s">
        <v>131</v>
      </c>
      <c r="D156" t="s">
        <v>132</v>
      </c>
      <c r="E156" t="s">
        <v>64</v>
      </c>
      <c r="F156" t="s">
        <v>1110</v>
      </c>
      <c r="G156" t="s">
        <v>25</v>
      </c>
      <c r="H156" t="s">
        <v>35</v>
      </c>
      <c r="I156" t="s">
        <v>103</v>
      </c>
      <c r="J156" t="s">
        <v>36</v>
      </c>
      <c r="K156">
        <v>2</v>
      </c>
      <c r="L156" s="2">
        <v>12107</v>
      </c>
      <c r="M156" s="2">
        <f>Table1[[#This Row],[Cost_Price]]*Table1[[#This Row],[Quantity_Sold]]</f>
        <v>24214</v>
      </c>
      <c r="N156" s="2">
        <v>17647</v>
      </c>
      <c r="O156" s="5">
        <v>0.1</v>
      </c>
      <c r="P156" s="2">
        <v>35294</v>
      </c>
      <c r="Q156" s="2">
        <v>11080</v>
      </c>
      <c r="R156">
        <v>2</v>
      </c>
    </row>
    <row r="157" spans="1:18" x14ac:dyDescent="0.25">
      <c r="A157" t="s">
        <v>534</v>
      </c>
      <c r="B157" s="1">
        <v>45657</v>
      </c>
      <c r="C157" t="s">
        <v>131</v>
      </c>
      <c r="D157" t="s">
        <v>132</v>
      </c>
      <c r="E157" t="s">
        <v>64</v>
      </c>
      <c r="F157" t="s">
        <v>1110</v>
      </c>
      <c r="G157" t="s">
        <v>25</v>
      </c>
      <c r="H157" t="s">
        <v>26</v>
      </c>
      <c r="I157" t="s">
        <v>103</v>
      </c>
      <c r="J157" t="s">
        <v>59</v>
      </c>
      <c r="K157">
        <v>2</v>
      </c>
      <c r="L157" s="2">
        <v>3126</v>
      </c>
      <c r="M157" s="2">
        <f>Table1[[#This Row],[Cost_Price]]*Table1[[#This Row],[Quantity_Sold]]</f>
        <v>6252</v>
      </c>
      <c r="N157" s="2">
        <v>7542</v>
      </c>
      <c r="O157" s="5">
        <v>0.05</v>
      </c>
      <c r="P157" s="2">
        <v>15084</v>
      </c>
      <c r="Q157" s="2">
        <v>8832</v>
      </c>
      <c r="R157">
        <v>3</v>
      </c>
    </row>
    <row r="158" spans="1:18" x14ac:dyDescent="0.25">
      <c r="A158" t="s">
        <v>123</v>
      </c>
      <c r="B158" s="1">
        <v>45698</v>
      </c>
      <c r="C158" t="s">
        <v>39</v>
      </c>
      <c r="D158" t="s">
        <v>1108</v>
      </c>
      <c r="E158" t="s">
        <v>41</v>
      </c>
      <c r="F158" t="s">
        <v>42</v>
      </c>
      <c r="G158" t="s">
        <v>25</v>
      </c>
      <c r="H158" t="s">
        <v>26</v>
      </c>
      <c r="I158" t="s">
        <v>103</v>
      </c>
      <c r="J158" t="s">
        <v>59</v>
      </c>
      <c r="K158">
        <v>8</v>
      </c>
      <c r="L158" s="2">
        <v>12191</v>
      </c>
      <c r="M158" s="2">
        <f>Table1[[#This Row],[Cost_Price]]*Table1[[#This Row],[Quantity_Sold]]</f>
        <v>97528</v>
      </c>
      <c r="N158" s="2">
        <v>14523</v>
      </c>
      <c r="O158" s="5">
        <v>0</v>
      </c>
      <c r="P158" s="2">
        <v>116184</v>
      </c>
      <c r="Q158" s="2">
        <v>18656</v>
      </c>
      <c r="R158">
        <v>3</v>
      </c>
    </row>
    <row r="159" spans="1:18" x14ac:dyDescent="0.25">
      <c r="A159" t="s">
        <v>412</v>
      </c>
      <c r="B159" s="1">
        <v>45472</v>
      </c>
      <c r="C159" t="s">
        <v>106</v>
      </c>
      <c r="D159" t="s">
        <v>107</v>
      </c>
      <c r="E159" t="s">
        <v>41</v>
      </c>
      <c r="F159" t="s">
        <v>23</v>
      </c>
      <c r="G159" t="s">
        <v>25</v>
      </c>
      <c r="H159" t="s">
        <v>26</v>
      </c>
      <c r="I159" t="s">
        <v>120</v>
      </c>
      <c r="J159" t="s">
        <v>36</v>
      </c>
      <c r="K159">
        <v>4</v>
      </c>
      <c r="L159" s="2">
        <v>8590</v>
      </c>
      <c r="M159" s="2">
        <f>Table1[[#This Row],[Cost_Price]]*Table1[[#This Row],[Quantity_Sold]]</f>
        <v>34360</v>
      </c>
      <c r="N159" s="2">
        <v>12226</v>
      </c>
      <c r="O159" s="5">
        <v>0.04</v>
      </c>
      <c r="P159" s="2">
        <v>48904</v>
      </c>
      <c r="Q159" s="2">
        <v>14544</v>
      </c>
      <c r="R159">
        <v>3</v>
      </c>
    </row>
    <row r="160" spans="1:18" x14ac:dyDescent="0.25">
      <c r="A160" t="s">
        <v>104</v>
      </c>
      <c r="B160" s="1">
        <v>45452</v>
      </c>
      <c r="C160" t="s">
        <v>62</v>
      </c>
      <c r="D160" t="s">
        <v>63</v>
      </c>
      <c r="E160" t="s">
        <v>64</v>
      </c>
      <c r="F160" t="s">
        <v>92</v>
      </c>
      <c r="G160" t="s">
        <v>25</v>
      </c>
      <c r="H160" t="s">
        <v>45</v>
      </c>
      <c r="I160" t="s">
        <v>103</v>
      </c>
      <c r="J160" t="s">
        <v>54</v>
      </c>
      <c r="K160">
        <v>2</v>
      </c>
      <c r="L160" s="2">
        <v>12880</v>
      </c>
      <c r="M160" s="2">
        <f>Table1[[#This Row],[Cost_Price]]*Table1[[#This Row],[Quantity_Sold]]</f>
        <v>25760</v>
      </c>
      <c r="N160" s="2">
        <v>17243</v>
      </c>
      <c r="O160" s="5">
        <v>0.04</v>
      </c>
      <c r="P160" s="2">
        <v>34486</v>
      </c>
      <c r="Q160" s="2">
        <v>8726</v>
      </c>
      <c r="R160">
        <v>1</v>
      </c>
    </row>
    <row r="161" spans="1:18" x14ac:dyDescent="0.25">
      <c r="A161" t="s">
        <v>603</v>
      </c>
      <c r="B161" s="1">
        <v>45582</v>
      </c>
      <c r="C161" t="s">
        <v>149</v>
      </c>
      <c r="D161" t="s">
        <v>150</v>
      </c>
      <c r="E161" t="s">
        <v>51</v>
      </c>
      <c r="F161" t="s">
        <v>73</v>
      </c>
      <c r="G161" t="s">
        <v>25</v>
      </c>
      <c r="H161" t="s">
        <v>35</v>
      </c>
      <c r="I161" t="s">
        <v>103</v>
      </c>
      <c r="J161" t="s">
        <v>28</v>
      </c>
      <c r="K161">
        <v>8</v>
      </c>
      <c r="L161" s="2">
        <v>14047</v>
      </c>
      <c r="M161" s="2">
        <f>Table1[[#This Row],[Cost_Price]]*Table1[[#This Row],[Quantity_Sold]]</f>
        <v>112376</v>
      </c>
      <c r="N161" s="2">
        <v>18650</v>
      </c>
      <c r="O161" s="5">
        <v>0.04</v>
      </c>
      <c r="P161" s="2">
        <v>149200</v>
      </c>
      <c r="Q161" s="2">
        <v>36824</v>
      </c>
      <c r="R161">
        <v>1</v>
      </c>
    </row>
    <row r="162" spans="1:18" x14ac:dyDescent="0.25">
      <c r="A162" t="s">
        <v>236</v>
      </c>
      <c r="B162" s="1">
        <v>45295</v>
      </c>
      <c r="C162" t="s">
        <v>77</v>
      </c>
      <c r="D162" t="s">
        <v>78</v>
      </c>
      <c r="E162" t="s">
        <v>64</v>
      </c>
      <c r="F162" t="s">
        <v>1110</v>
      </c>
      <c r="G162" t="s">
        <v>25</v>
      </c>
      <c r="H162" t="s">
        <v>45</v>
      </c>
      <c r="I162" t="s">
        <v>103</v>
      </c>
      <c r="J162" t="s">
        <v>28</v>
      </c>
      <c r="K162">
        <v>3</v>
      </c>
      <c r="L162" s="2">
        <v>1768</v>
      </c>
      <c r="M162" s="2">
        <f>Table1[[#This Row],[Cost_Price]]*Table1[[#This Row],[Quantity_Sold]]</f>
        <v>5304</v>
      </c>
      <c r="N162" s="2">
        <v>7083</v>
      </c>
      <c r="O162" s="5">
        <v>0.04</v>
      </c>
      <c r="P162" s="2">
        <v>21249</v>
      </c>
      <c r="Q162" s="2">
        <v>15945</v>
      </c>
      <c r="R162">
        <v>1</v>
      </c>
    </row>
    <row r="163" spans="1:18" x14ac:dyDescent="0.25">
      <c r="A163" t="s">
        <v>1134</v>
      </c>
      <c r="B163" s="1">
        <v>45595</v>
      </c>
      <c r="C163" t="s">
        <v>141</v>
      </c>
      <c r="D163" t="s">
        <v>142</v>
      </c>
      <c r="E163" t="s">
        <v>51</v>
      </c>
      <c r="F163" t="s">
        <v>73</v>
      </c>
      <c r="G163" t="s">
        <v>44</v>
      </c>
      <c r="H163" t="s">
        <v>45</v>
      </c>
      <c r="I163" t="s">
        <v>120</v>
      </c>
      <c r="J163" t="s">
        <v>36</v>
      </c>
      <c r="K163">
        <v>8</v>
      </c>
      <c r="L163" s="2">
        <v>2071</v>
      </c>
      <c r="M163" s="2">
        <f>Table1[[#This Row],[Cost_Price]]*Table1[[#This Row],[Quantity_Sold]]</f>
        <v>16568</v>
      </c>
      <c r="N163" s="2">
        <v>8732</v>
      </c>
      <c r="O163" s="5">
        <v>0.1</v>
      </c>
      <c r="P163" s="2">
        <v>69856</v>
      </c>
      <c r="Q163" s="2">
        <v>53288</v>
      </c>
      <c r="R163">
        <v>4</v>
      </c>
    </row>
    <row r="164" spans="1:18" x14ac:dyDescent="0.25">
      <c r="A164" t="s">
        <v>575</v>
      </c>
      <c r="B164" s="1">
        <v>45744</v>
      </c>
      <c r="C164" t="s">
        <v>87</v>
      </c>
      <c r="D164" t="s">
        <v>88</v>
      </c>
      <c r="E164" t="s">
        <v>33</v>
      </c>
      <c r="F164" t="s">
        <v>98</v>
      </c>
      <c r="G164" t="s">
        <v>44</v>
      </c>
      <c r="H164" t="s">
        <v>26</v>
      </c>
      <c r="I164" t="s">
        <v>103</v>
      </c>
      <c r="J164" t="s">
        <v>59</v>
      </c>
      <c r="K164">
        <v>8</v>
      </c>
      <c r="L164" s="2">
        <v>5123</v>
      </c>
      <c r="M164" s="2">
        <f>Table1[[#This Row],[Cost_Price]]*Table1[[#This Row],[Quantity_Sold]]</f>
        <v>40984</v>
      </c>
      <c r="N164" s="2">
        <v>10198</v>
      </c>
      <c r="O164" s="5">
        <v>0.02</v>
      </c>
      <c r="P164" s="2">
        <v>81584</v>
      </c>
      <c r="Q164" s="2">
        <v>40600</v>
      </c>
      <c r="R164">
        <v>1</v>
      </c>
    </row>
    <row r="165" spans="1:18" x14ac:dyDescent="0.25">
      <c r="A165" t="s">
        <v>364</v>
      </c>
      <c r="B165" s="1">
        <v>45528</v>
      </c>
      <c r="C165" t="s">
        <v>49</v>
      </c>
      <c r="D165" t="s">
        <v>83</v>
      </c>
      <c r="E165" t="s">
        <v>51</v>
      </c>
      <c r="F165" t="s">
        <v>98</v>
      </c>
      <c r="G165" t="s">
        <v>44</v>
      </c>
      <c r="H165" t="s">
        <v>26</v>
      </c>
      <c r="I165" t="s">
        <v>58</v>
      </c>
      <c r="J165" t="s">
        <v>28</v>
      </c>
      <c r="K165">
        <v>8</v>
      </c>
      <c r="L165" s="2">
        <v>13364</v>
      </c>
      <c r="M165" s="2">
        <f>Table1[[#This Row],[Cost_Price]]*Table1[[#This Row],[Quantity_Sold]]</f>
        <v>106912</v>
      </c>
      <c r="N165" s="2">
        <v>17239</v>
      </c>
      <c r="O165" s="5">
        <v>0.1</v>
      </c>
      <c r="P165" s="2">
        <v>137912</v>
      </c>
      <c r="Q165" s="2">
        <v>31000</v>
      </c>
      <c r="R165">
        <v>1</v>
      </c>
    </row>
    <row r="166" spans="1:18" x14ac:dyDescent="0.25">
      <c r="A166" t="s">
        <v>483</v>
      </c>
      <c r="B166" s="1">
        <v>45779</v>
      </c>
      <c r="C166" t="s">
        <v>77</v>
      </c>
      <c r="D166" t="s">
        <v>78</v>
      </c>
      <c r="E166" t="s">
        <v>64</v>
      </c>
      <c r="F166" t="s">
        <v>73</v>
      </c>
      <c r="G166" t="s">
        <v>44</v>
      </c>
      <c r="H166" t="s">
        <v>26</v>
      </c>
      <c r="I166" t="s">
        <v>58</v>
      </c>
      <c r="J166" t="s">
        <v>36</v>
      </c>
      <c r="K166">
        <v>6</v>
      </c>
      <c r="L166" s="2">
        <v>12434</v>
      </c>
      <c r="M166" s="2">
        <f>Table1[[#This Row],[Cost_Price]]*Table1[[#This Row],[Quantity_Sold]]</f>
        <v>74604</v>
      </c>
      <c r="N166" s="2">
        <v>15569</v>
      </c>
      <c r="O166" s="5">
        <v>0</v>
      </c>
      <c r="P166" s="2">
        <v>93414</v>
      </c>
      <c r="Q166" s="2">
        <v>18810</v>
      </c>
      <c r="R166">
        <v>5</v>
      </c>
    </row>
    <row r="167" spans="1:18" x14ac:dyDescent="0.25">
      <c r="A167" t="s">
        <v>755</v>
      </c>
      <c r="B167" s="1">
        <v>45333</v>
      </c>
      <c r="C167" t="s">
        <v>62</v>
      </c>
      <c r="D167" t="s">
        <v>63</v>
      </c>
      <c r="E167" t="s">
        <v>64</v>
      </c>
      <c r="F167" t="s">
        <v>73</v>
      </c>
      <c r="G167" t="s">
        <v>25</v>
      </c>
      <c r="H167" t="s">
        <v>45</v>
      </c>
      <c r="I167" t="s">
        <v>103</v>
      </c>
      <c r="J167" t="s">
        <v>54</v>
      </c>
      <c r="K167">
        <v>8</v>
      </c>
      <c r="L167" s="2">
        <v>12065</v>
      </c>
      <c r="M167" s="2">
        <f>Table1[[#This Row],[Cost_Price]]*Table1[[#This Row],[Quantity_Sold]]</f>
        <v>96520</v>
      </c>
      <c r="N167" s="2">
        <v>16205</v>
      </c>
      <c r="O167" s="5">
        <v>0.04</v>
      </c>
      <c r="P167" s="2">
        <v>129640</v>
      </c>
      <c r="Q167" s="2">
        <v>33120</v>
      </c>
      <c r="R167">
        <v>4</v>
      </c>
    </row>
    <row r="168" spans="1:18" x14ac:dyDescent="0.25">
      <c r="A168" t="s">
        <v>752</v>
      </c>
      <c r="B168" s="1">
        <v>45457</v>
      </c>
      <c r="C168" t="s">
        <v>82</v>
      </c>
      <c r="D168" t="s">
        <v>83</v>
      </c>
      <c r="E168" t="s">
        <v>51</v>
      </c>
      <c r="F168" t="s">
        <v>42</v>
      </c>
      <c r="G168" t="s">
        <v>25</v>
      </c>
      <c r="H168" t="s">
        <v>26</v>
      </c>
      <c r="I168" t="s">
        <v>103</v>
      </c>
      <c r="J168" t="s">
        <v>36</v>
      </c>
      <c r="K168">
        <v>7</v>
      </c>
      <c r="L168" s="2">
        <v>5785</v>
      </c>
      <c r="M168" s="2">
        <f>Table1[[#This Row],[Cost_Price]]*Table1[[#This Row],[Quantity_Sold]]</f>
        <v>40495</v>
      </c>
      <c r="N168" s="2">
        <v>11620</v>
      </c>
      <c r="O168" s="5">
        <v>0.05</v>
      </c>
      <c r="P168" s="2">
        <v>81340</v>
      </c>
      <c r="Q168" s="2">
        <v>40845</v>
      </c>
      <c r="R168">
        <v>4</v>
      </c>
    </row>
    <row r="169" spans="1:18" x14ac:dyDescent="0.25">
      <c r="A169" t="s">
        <v>717</v>
      </c>
      <c r="B169" s="1">
        <v>45296</v>
      </c>
      <c r="C169" t="s">
        <v>39</v>
      </c>
      <c r="D169" t="s">
        <v>1108</v>
      </c>
      <c r="E169" t="s">
        <v>41</v>
      </c>
      <c r="F169" t="s">
        <v>98</v>
      </c>
      <c r="G169" t="s">
        <v>25</v>
      </c>
      <c r="H169" t="s">
        <v>26</v>
      </c>
      <c r="I169" t="s">
        <v>58</v>
      </c>
      <c r="J169" t="s">
        <v>59</v>
      </c>
      <c r="K169">
        <v>6</v>
      </c>
      <c r="L169" s="2">
        <v>8124</v>
      </c>
      <c r="M169" s="2">
        <f>Table1[[#This Row],[Cost_Price]]*Table1[[#This Row],[Quantity_Sold]]</f>
        <v>48744</v>
      </c>
      <c r="N169" s="2">
        <v>12810</v>
      </c>
      <c r="O169" s="5">
        <v>0</v>
      </c>
      <c r="P169" s="2">
        <v>76860</v>
      </c>
      <c r="Q169" s="2">
        <v>28116</v>
      </c>
      <c r="R169">
        <v>1</v>
      </c>
    </row>
    <row r="170" spans="1:18" x14ac:dyDescent="0.25">
      <c r="A170" t="s">
        <v>942</v>
      </c>
      <c r="B170" s="1">
        <v>45342</v>
      </c>
      <c r="C170" t="s">
        <v>71</v>
      </c>
      <c r="D170" t="s">
        <v>72</v>
      </c>
      <c r="E170" t="s">
        <v>64</v>
      </c>
      <c r="F170" t="s">
        <v>73</v>
      </c>
      <c r="G170" t="s">
        <v>25</v>
      </c>
      <c r="H170" t="s">
        <v>45</v>
      </c>
      <c r="I170" t="s">
        <v>103</v>
      </c>
      <c r="J170" t="s">
        <v>59</v>
      </c>
      <c r="K170">
        <v>8</v>
      </c>
      <c r="L170" s="2">
        <v>5101</v>
      </c>
      <c r="M170" s="2">
        <f>Table1[[#This Row],[Cost_Price]]*Table1[[#This Row],[Quantity_Sold]]</f>
        <v>40808</v>
      </c>
      <c r="N170" s="2">
        <v>11336</v>
      </c>
      <c r="O170" s="5">
        <v>0.05</v>
      </c>
      <c r="P170" s="2">
        <v>90688</v>
      </c>
      <c r="Q170" s="2">
        <v>49880</v>
      </c>
      <c r="R170">
        <v>4</v>
      </c>
    </row>
    <row r="171" spans="1:18" x14ac:dyDescent="0.25">
      <c r="A171" t="s">
        <v>945</v>
      </c>
      <c r="B171" s="1">
        <v>45384</v>
      </c>
      <c r="C171" t="s">
        <v>96</v>
      </c>
      <c r="D171" t="s">
        <v>97</v>
      </c>
      <c r="E171" t="s">
        <v>51</v>
      </c>
      <c r="F171" t="s">
        <v>92</v>
      </c>
      <c r="G171" t="s">
        <v>44</v>
      </c>
      <c r="H171" t="s">
        <v>26</v>
      </c>
      <c r="I171" t="s">
        <v>103</v>
      </c>
      <c r="J171" t="s">
        <v>28</v>
      </c>
      <c r="K171">
        <v>4</v>
      </c>
      <c r="L171" s="2">
        <v>12182</v>
      </c>
      <c r="M171" s="2">
        <f>Table1[[#This Row],[Cost_Price]]*Table1[[#This Row],[Quantity_Sold]]</f>
        <v>48728</v>
      </c>
      <c r="N171" s="2">
        <v>14383</v>
      </c>
      <c r="O171" s="5">
        <v>0.05</v>
      </c>
      <c r="P171" s="2">
        <v>57532</v>
      </c>
      <c r="Q171" s="2">
        <v>8804</v>
      </c>
      <c r="R171">
        <v>1</v>
      </c>
    </row>
    <row r="172" spans="1:18" x14ac:dyDescent="0.25">
      <c r="A172" t="s">
        <v>1135</v>
      </c>
      <c r="B172" s="1">
        <v>45787</v>
      </c>
      <c r="C172" t="s">
        <v>241</v>
      </c>
      <c r="D172" t="s">
        <v>1109</v>
      </c>
      <c r="E172" t="s">
        <v>22</v>
      </c>
      <c r="F172" t="s">
        <v>42</v>
      </c>
      <c r="G172" t="s">
        <v>25</v>
      </c>
      <c r="H172" t="s">
        <v>35</v>
      </c>
      <c r="I172" t="s">
        <v>103</v>
      </c>
      <c r="J172" t="s">
        <v>54</v>
      </c>
      <c r="K172">
        <v>8</v>
      </c>
      <c r="L172" s="2">
        <v>3666</v>
      </c>
      <c r="M172" s="2">
        <f>Table1[[#This Row],[Cost_Price]]*Table1[[#This Row],[Quantity_Sold]]</f>
        <v>29328</v>
      </c>
      <c r="N172" s="2">
        <v>4697</v>
      </c>
      <c r="O172" s="5">
        <v>0.1</v>
      </c>
      <c r="P172" s="2">
        <v>37576</v>
      </c>
      <c r="Q172" s="2">
        <v>8248</v>
      </c>
      <c r="R172">
        <v>4</v>
      </c>
    </row>
    <row r="173" spans="1:18" x14ac:dyDescent="0.25">
      <c r="A173" t="s">
        <v>499</v>
      </c>
      <c r="B173" s="1">
        <v>45469</v>
      </c>
      <c r="C173" t="s">
        <v>49</v>
      </c>
      <c r="D173" t="s">
        <v>83</v>
      </c>
      <c r="E173" t="s">
        <v>51</v>
      </c>
      <c r="F173" t="s">
        <v>98</v>
      </c>
      <c r="G173" t="s">
        <v>25</v>
      </c>
      <c r="H173" t="s">
        <v>45</v>
      </c>
      <c r="I173" t="s">
        <v>103</v>
      </c>
      <c r="J173" t="s">
        <v>54</v>
      </c>
      <c r="K173">
        <v>3</v>
      </c>
      <c r="L173" s="2">
        <v>9701</v>
      </c>
      <c r="M173" s="2">
        <f>Table1[[#This Row],[Cost_Price]]*Table1[[#This Row],[Quantity_Sold]]</f>
        <v>29103</v>
      </c>
      <c r="N173" s="2">
        <v>11043</v>
      </c>
      <c r="O173" s="5">
        <v>0.04</v>
      </c>
      <c r="P173" s="2">
        <v>33129</v>
      </c>
      <c r="Q173" s="2">
        <v>4026</v>
      </c>
      <c r="R173" s="3" t="s">
        <v>1110</v>
      </c>
    </row>
    <row r="174" spans="1:18" x14ac:dyDescent="0.25">
      <c r="A174" t="s">
        <v>288</v>
      </c>
      <c r="B174" s="1">
        <v>45612</v>
      </c>
      <c r="C174" t="s">
        <v>62</v>
      </c>
      <c r="D174" t="s">
        <v>63</v>
      </c>
      <c r="E174" t="s">
        <v>64</v>
      </c>
      <c r="F174" t="s">
        <v>98</v>
      </c>
      <c r="G174" t="s">
        <v>44</v>
      </c>
      <c r="H174" t="s">
        <v>45</v>
      </c>
      <c r="I174" t="s">
        <v>120</v>
      </c>
      <c r="J174" t="s">
        <v>36</v>
      </c>
      <c r="K174">
        <v>7</v>
      </c>
      <c r="L174" s="2">
        <v>11505</v>
      </c>
      <c r="M174" s="2">
        <f>Table1[[#This Row],[Cost_Price]]*Table1[[#This Row],[Quantity_Sold]]</f>
        <v>80535</v>
      </c>
      <c r="N174" s="2">
        <v>13645</v>
      </c>
      <c r="O174" s="5">
        <v>0.02</v>
      </c>
      <c r="P174" s="2">
        <v>95515</v>
      </c>
      <c r="Q174" s="2">
        <v>14980</v>
      </c>
      <c r="R174">
        <v>4</v>
      </c>
    </row>
    <row r="175" spans="1:18" x14ac:dyDescent="0.25">
      <c r="A175" t="s">
        <v>1136</v>
      </c>
      <c r="B175" s="1">
        <v>45378</v>
      </c>
      <c r="C175" t="s">
        <v>106</v>
      </c>
      <c r="D175" t="s">
        <v>107</v>
      </c>
      <c r="E175" t="s">
        <v>41</v>
      </c>
      <c r="F175" t="s">
        <v>42</v>
      </c>
      <c r="G175" t="s">
        <v>44</v>
      </c>
      <c r="H175" t="s">
        <v>35</v>
      </c>
      <c r="I175" t="s">
        <v>103</v>
      </c>
      <c r="J175" t="s">
        <v>54</v>
      </c>
      <c r="K175">
        <v>1</v>
      </c>
      <c r="L175" s="2">
        <v>1528</v>
      </c>
      <c r="M175" s="2">
        <f>Table1[[#This Row],[Cost_Price]]*Table1[[#This Row],[Quantity_Sold]]</f>
        <v>1528</v>
      </c>
      <c r="N175" s="2">
        <v>4875</v>
      </c>
      <c r="O175" s="5">
        <v>0.05</v>
      </c>
      <c r="P175" s="2">
        <v>4875</v>
      </c>
      <c r="Q175" s="2">
        <v>3347</v>
      </c>
      <c r="R175">
        <v>2</v>
      </c>
    </row>
    <row r="176" spans="1:18" x14ac:dyDescent="0.25">
      <c r="A176" t="s">
        <v>948</v>
      </c>
      <c r="B176" s="1">
        <v>45592</v>
      </c>
      <c r="C176" t="s">
        <v>49</v>
      </c>
      <c r="D176" t="s">
        <v>83</v>
      </c>
      <c r="E176" t="s">
        <v>51</v>
      </c>
      <c r="F176" t="s">
        <v>98</v>
      </c>
      <c r="G176" t="s">
        <v>44</v>
      </c>
      <c r="H176" t="s">
        <v>35</v>
      </c>
      <c r="I176" t="s">
        <v>120</v>
      </c>
      <c r="J176" t="s">
        <v>54</v>
      </c>
      <c r="K176">
        <v>7</v>
      </c>
      <c r="L176" s="2">
        <v>11394</v>
      </c>
      <c r="M176" s="2">
        <f>Table1[[#This Row],[Cost_Price]]*Table1[[#This Row],[Quantity_Sold]]</f>
        <v>79758</v>
      </c>
      <c r="N176" s="2">
        <v>19064</v>
      </c>
      <c r="O176" s="5">
        <v>0.05</v>
      </c>
      <c r="P176" s="2">
        <v>133448</v>
      </c>
      <c r="Q176" s="2">
        <v>53690</v>
      </c>
      <c r="R176" s="3" t="s">
        <v>1110</v>
      </c>
    </row>
    <row r="177" spans="1:18" x14ac:dyDescent="0.25">
      <c r="A177" t="s">
        <v>382</v>
      </c>
      <c r="B177" s="1">
        <v>45310</v>
      </c>
      <c r="C177" t="s">
        <v>31</v>
      </c>
      <c r="D177" t="s">
        <v>32</v>
      </c>
      <c r="E177" t="s">
        <v>33</v>
      </c>
      <c r="F177" t="s">
        <v>23</v>
      </c>
      <c r="G177" t="s">
        <v>25</v>
      </c>
      <c r="H177" t="s">
        <v>45</v>
      </c>
      <c r="I177" t="s">
        <v>103</v>
      </c>
      <c r="J177" t="s">
        <v>59</v>
      </c>
      <c r="K177">
        <v>4</v>
      </c>
      <c r="L177" s="2">
        <v>8743</v>
      </c>
      <c r="M177" s="2">
        <f>Table1[[#This Row],[Cost_Price]]*Table1[[#This Row],[Quantity_Sold]]</f>
        <v>34972</v>
      </c>
      <c r="N177" s="2">
        <v>15959</v>
      </c>
      <c r="O177" s="5">
        <v>0.04</v>
      </c>
      <c r="P177" s="2">
        <v>63836</v>
      </c>
      <c r="Q177" s="2">
        <v>28864</v>
      </c>
      <c r="R177">
        <v>5</v>
      </c>
    </row>
    <row r="178" spans="1:18" x14ac:dyDescent="0.25">
      <c r="A178" t="s">
        <v>678</v>
      </c>
      <c r="B178" s="1">
        <v>45564</v>
      </c>
      <c r="C178" t="s">
        <v>77</v>
      </c>
      <c r="D178" t="s">
        <v>78</v>
      </c>
      <c r="E178" t="s">
        <v>64</v>
      </c>
      <c r="F178" t="s">
        <v>92</v>
      </c>
      <c r="G178" t="s">
        <v>44</v>
      </c>
      <c r="H178" t="s">
        <v>26</v>
      </c>
      <c r="I178" t="s">
        <v>120</v>
      </c>
      <c r="J178" t="s">
        <v>59</v>
      </c>
      <c r="K178">
        <v>7</v>
      </c>
      <c r="L178" s="2">
        <v>6371</v>
      </c>
      <c r="M178" s="2">
        <f>Table1[[#This Row],[Cost_Price]]*Table1[[#This Row],[Quantity_Sold]]</f>
        <v>44597</v>
      </c>
      <c r="N178" s="2">
        <v>11474</v>
      </c>
      <c r="O178" s="5">
        <v>0.04</v>
      </c>
      <c r="P178" s="2">
        <v>80318</v>
      </c>
      <c r="Q178" s="2">
        <v>35721</v>
      </c>
      <c r="R178">
        <v>3</v>
      </c>
    </row>
    <row r="179" spans="1:18" x14ac:dyDescent="0.25">
      <c r="A179" t="s">
        <v>362</v>
      </c>
      <c r="B179" s="1">
        <v>45355</v>
      </c>
      <c r="C179" t="s">
        <v>141</v>
      </c>
      <c r="D179" t="s">
        <v>142</v>
      </c>
      <c r="E179" t="s">
        <v>51</v>
      </c>
      <c r="F179" t="s">
        <v>1110</v>
      </c>
      <c r="G179" t="s">
        <v>25</v>
      </c>
      <c r="H179" t="s">
        <v>45</v>
      </c>
      <c r="I179" t="s">
        <v>120</v>
      </c>
      <c r="J179" t="s">
        <v>28</v>
      </c>
      <c r="K179">
        <v>4</v>
      </c>
      <c r="L179" s="2">
        <v>10426</v>
      </c>
      <c r="M179" s="2">
        <f>Table1[[#This Row],[Cost_Price]]*Table1[[#This Row],[Quantity_Sold]]</f>
        <v>41704</v>
      </c>
      <c r="N179" s="2">
        <v>14717</v>
      </c>
      <c r="O179" s="5">
        <v>0.04</v>
      </c>
      <c r="P179" s="2">
        <v>58868</v>
      </c>
      <c r="Q179" s="2">
        <v>17164</v>
      </c>
      <c r="R179" s="3" t="s">
        <v>1110</v>
      </c>
    </row>
    <row r="180" spans="1:18" x14ac:dyDescent="0.25">
      <c r="A180" t="s">
        <v>250</v>
      </c>
      <c r="B180" s="1">
        <v>45667</v>
      </c>
      <c r="C180" t="s">
        <v>141</v>
      </c>
      <c r="D180" t="s">
        <v>142</v>
      </c>
      <c r="E180" t="s">
        <v>51</v>
      </c>
      <c r="F180" t="s">
        <v>23</v>
      </c>
      <c r="G180" t="s">
        <v>44</v>
      </c>
      <c r="H180" t="s">
        <v>35</v>
      </c>
      <c r="I180" t="s">
        <v>103</v>
      </c>
      <c r="J180" t="s">
        <v>28</v>
      </c>
      <c r="K180">
        <v>3</v>
      </c>
      <c r="L180" s="2">
        <v>12563</v>
      </c>
      <c r="M180" s="2">
        <f>Table1[[#This Row],[Cost_Price]]*Table1[[#This Row],[Quantity_Sold]]</f>
        <v>37689</v>
      </c>
      <c r="N180" s="2">
        <v>13334</v>
      </c>
      <c r="O180" s="5">
        <v>0</v>
      </c>
      <c r="P180" s="2">
        <v>40002</v>
      </c>
      <c r="Q180" s="2">
        <v>2313</v>
      </c>
      <c r="R180" s="3" t="s">
        <v>1110</v>
      </c>
    </row>
    <row r="181" spans="1:18" x14ac:dyDescent="0.25">
      <c r="A181" t="s">
        <v>823</v>
      </c>
      <c r="B181" s="1">
        <v>45548</v>
      </c>
      <c r="C181" t="s">
        <v>216</v>
      </c>
      <c r="D181" t="s">
        <v>217</v>
      </c>
      <c r="E181" t="s">
        <v>33</v>
      </c>
      <c r="F181" t="s">
        <v>23</v>
      </c>
      <c r="G181" t="s">
        <v>25</v>
      </c>
      <c r="H181" t="s">
        <v>35</v>
      </c>
      <c r="I181" t="s">
        <v>103</v>
      </c>
      <c r="J181" t="s">
        <v>36</v>
      </c>
      <c r="K181">
        <v>4</v>
      </c>
      <c r="L181" s="2">
        <v>6431</v>
      </c>
      <c r="M181" s="2">
        <f>Table1[[#This Row],[Cost_Price]]*Table1[[#This Row],[Quantity_Sold]]</f>
        <v>25724</v>
      </c>
      <c r="N181" s="2">
        <v>11028</v>
      </c>
      <c r="O181" s="5">
        <v>0.05</v>
      </c>
      <c r="P181" s="2">
        <v>44112</v>
      </c>
      <c r="Q181" s="2">
        <v>18388</v>
      </c>
      <c r="R181">
        <v>2</v>
      </c>
    </row>
    <row r="182" spans="1:18" x14ac:dyDescent="0.25">
      <c r="A182" t="s">
        <v>1137</v>
      </c>
      <c r="B182" s="1">
        <v>45578</v>
      </c>
      <c r="C182" t="s">
        <v>82</v>
      </c>
      <c r="D182" t="s">
        <v>83</v>
      </c>
      <c r="E182" t="s">
        <v>51</v>
      </c>
      <c r="F182" t="s">
        <v>23</v>
      </c>
      <c r="G182" t="s">
        <v>25</v>
      </c>
      <c r="H182" t="s">
        <v>26</v>
      </c>
      <c r="I182" t="s">
        <v>27</v>
      </c>
      <c r="J182" t="s">
        <v>28</v>
      </c>
      <c r="K182">
        <v>7</v>
      </c>
      <c r="L182" s="2">
        <v>3115</v>
      </c>
      <c r="M182" s="2">
        <f>Table1[[#This Row],[Cost_Price]]*Table1[[#This Row],[Quantity_Sold]]</f>
        <v>21805</v>
      </c>
      <c r="N182" s="2">
        <v>7584</v>
      </c>
      <c r="O182" s="5">
        <v>0</v>
      </c>
      <c r="P182" s="2">
        <v>53088</v>
      </c>
      <c r="Q182" s="2">
        <v>31283</v>
      </c>
      <c r="R182">
        <v>3</v>
      </c>
    </row>
    <row r="183" spans="1:18" x14ac:dyDescent="0.25">
      <c r="A183" t="s">
        <v>439</v>
      </c>
      <c r="B183" s="1">
        <v>45650</v>
      </c>
      <c r="C183" t="s">
        <v>20</v>
      </c>
      <c r="D183" t="s">
        <v>1107</v>
      </c>
      <c r="E183" t="s">
        <v>22</v>
      </c>
      <c r="F183" t="s">
        <v>92</v>
      </c>
      <c r="G183" t="s">
        <v>44</v>
      </c>
      <c r="H183" t="s">
        <v>45</v>
      </c>
      <c r="I183" t="s">
        <v>103</v>
      </c>
      <c r="J183" t="s">
        <v>28</v>
      </c>
      <c r="K183">
        <v>2</v>
      </c>
      <c r="L183" s="2">
        <v>4316</v>
      </c>
      <c r="M183" s="2">
        <f>Table1[[#This Row],[Cost_Price]]*Table1[[#This Row],[Quantity_Sold]]</f>
        <v>8632</v>
      </c>
      <c r="N183" s="2">
        <v>8472</v>
      </c>
      <c r="O183" s="5">
        <v>0.04</v>
      </c>
      <c r="P183" s="2">
        <v>16944</v>
      </c>
      <c r="Q183" s="2">
        <v>8312</v>
      </c>
      <c r="R183">
        <v>3</v>
      </c>
    </row>
    <row r="184" spans="1:18" x14ac:dyDescent="0.25">
      <c r="A184" t="s">
        <v>431</v>
      </c>
      <c r="B184" s="1">
        <v>45529</v>
      </c>
      <c r="C184" t="s">
        <v>82</v>
      </c>
      <c r="D184" t="s">
        <v>83</v>
      </c>
      <c r="E184" t="s">
        <v>51</v>
      </c>
      <c r="F184" t="s">
        <v>73</v>
      </c>
      <c r="G184" t="s">
        <v>25</v>
      </c>
      <c r="H184" t="s">
        <v>26</v>
      </c>
      <c r="I184" t="s">
        <v>120</v>
      </c>
      <c r="J184" t="s">
        <v>36</v>
      </c>
      <c r="K184">
        <v>7</v>
      </c>
      <c r="L184" s="2">
        <v>8076</v>
      </c>
      <c r="M184" s="2">
        <f>Table1[[#This Row],[Cost_Price]]*Table1[[#This Row],[Quantity_Sold]]</f>
        <v>56532</v>
      </c>
      <c r="N184" s="2">
        <v>14781</v>
      </c>
      <c r="O184" s="5">
        <v>0</v>
      </c>
      <c r="P184" s="2">
        <v>103467</v>
      </c>
      <c r="Q184" s="2">
        <v>46935</v>
      </c>
      <c r="R184">
        <v>3</v>
      </c>
    </row>
    <row r="185" spans="1:18" x14ac:dyDescent="0.25">
      <c r="A185" t="s">
        <v>921</v>
      </c>
      <c r="B185" s="1">
        <v>45505</v>
      </c>
      <c r="C185" t="s">
        <v>131</v>
      </c>
      <c r="D185" t="s">
        <v>132</v>
      </c>
      <c r="E185" t="s">
        <v>64</v>
      </c>
      <c r="F185" t="s">
        <v>23</v>
      </c>
      <c r="G185" t="s">
        <v>44</v>
      </c>
      <c r="H185" t="s">
        <v>45</v>
      </c>
      <c r="I185" t="s">
        <v>103</v>
      </c>
      <c r="J185" t="s">
        <v>54</v>
      </c>
      <c r="K185">
        <v>4</v>
      </c>
      <c r="L185" s="2">
        <v>12450</v>
      </c>
      <c r="M185" s="2">
        <f>Table1[[#This Row],[Cost_Price]]*Table1[[#This Row],[Quantity_Sold]]</f>
        <v>49800</v>
      </c>
      <c r="N185" s="2">
        <v>15165</v>
      </c>
      <c r="O185" s="5">
        <v>0.02</v>
      </c>
      <c r="P185" s="2">
        <v>60660</v>
      </c>
      <c r="Q185" s="2">
        <v>10860</v>
      </c>
      <c r="R185">
        <v>2</v>
      </c>
    </row>
    <row r="186" spans="1:18" x14ac:dyDescent="0.25">
      <c r="A186" t="s">
        <v>671</v>
      </c>
      <c r="B186" s="1">
        <v>45815</v>
      </c>
      <c r="C186" t="s">
        <v>117</v>
      </c>
      <c r="D186" t="s">
        <v>118</v>
      </c>
      <c r="E186" t="s">
        <v>41</v>
      </c>
      <c r="F186" t="s">
        <v>73</v>
      </c>
      <c r="G186" t="s">
        <v>25</v>
      </c>
      <c r="H186" t="s">
        <v>26</v>
      </c>
      <c r="I186" t="s">
        <v>103</v>
      </c>
      <c r="J186" t="s">
        <v>36</v>
      </c>
      <c r="K186">
        <v>2</v>
      </c>
      <c r="L186" s="2">
        <v>12845</v>
      </c>
      <c r="M186" s="2">
        <f>Table1[[#This Row],[Cost_Price]]*Table1[[#This Row],[Quantity_Sold]]</f>
        <v>25690</v>
      </c>
      <c r="N186" s="2">
        <v>18165</v>
      </c>
      <c r="O186" s="5">
        <v>0.05</v>
      </c>
      <c r="P186" s="2">
        <v>36330</v>
      </c>
      <c r="Q186" s="2">
        <v>10640</v>
      </c>
      <c r="R186">
        <v>2</v>
      </c>
    </row>
    <row r="187" spans="1:18" x14ac:dyDescent="0.25">
      <c r="A187" t="s">
        <v>1055</v>
      </c>
      <c r="B187" s="1">
        <v>45777</v>
      </c>
      <c r="C187" t="s">
        <v>31</v>
      </c>
      <c r="D187" t="s">
        <v>32</v>
      </c>
      <c r="E187" t="s">
        <v>33</v>
      </c>
      <c r="F187" t="s">
        <v>23</v>
      </c>
      <c r="G187" t="s">
        <v>25</v>
      </c>
      <c r="H187" t="s">
        <v>45</v>
      </c>
      <c r="I187" t="s">
        <v>120</v>
      </c>
      <c r="J187" t="s">
        <v>28</v>
      </c>
      <c r="K187">
        <v>1</v>
      </c>
      <c r="L187" s="2">
        <v>6059</v>
      </c>
      <c r="M187" s="2">
        <f>Table1[[#This Row],[Cost_Price]]*Table1[[#This Row],[Quantity_Sold]]</f>
        <v>6059</v>
      </c>
      <c r="N187" s="2">
        <v>13682</v>
      </c>
      <c r="O187" s="5">
        <v>0.02</v>
      </c>
      <c r="P187" s="2">
        <v>13682</v>
      </c>
      <c r="Q187" s="2">
        <v>7623</v>
      </c>
      <c r="R187">
        <v>2</v>
      </c>
    </row>
    <row r="188" spans="1:18" x14ac:dyDescent="0.25">
      <c r="A188" t="s">
        <v>221</v>
      </c>
      <c r="B188" s="1">
        <v>45387</v>
      </c>
      <c r="C188" t="s">
        <v>49</v>
      </c>
      <c r="D188" t="s">
        <v>83</v>
      </c>
      <c r="E188" t="s">
        <v>51</v>
      </c>
      <c r="F188" t="s">
        <v>92</v>
      </c>
      <c r="G188" t="s">
        <v>25</v>
      </c>
      <c r="H188" t="s">
        <v>26</v>
      </c>
      <c r="I188" t="s">
        <v>27</v>
      </c>
      <c r="J188" t="s">
        <v>28</v>
      </c>
      <c r="K188">
        <v>4</v>
      </c>
      <c r="L188" s="2">
        <v>10470</v>
      </c>
      <c r="M188" s="2">
        <f>Table1[[#This Row],[Cost_Price]]*Table1[[#This Row],[Quantity_Sold]]</f>
        <v>41880</v>
      </c>
      <c r="N188" s="2">
        <v>15780</v>
      </c>
      <c r="O188" s="5">
        <v>0</v>
      </c>
      <c r="P188" s="2">
        <v>63120</v>
      </c>
      <c r="Q188" s="2">
        <v>21240</v>
      </c>
      <c r="R188">
        <v>2</v>
      </c>
    </row>
    <row r="189" spans="1:18" x14ac:dyDescent="0.25">
      <c r="A189" t="s">
        <v>993</v>
      </c>
      <c r="B189" s="1">
        <v>45357</v>
      </c>
      <c r="C189" t="s">
        <v>131</v>
      </c>
      <c r="D189" t="s">
        <v>132</v>
      </c>
      <c r="E189" t="s">
        <v>64</v>
      </c>
      <c r="F189" t="s">
        <v>98</v>
      </c>
      <c r="G189" t="s">
        <v>25</v>
      </c>
      <c r="H189" t="s">
        <v>35</v>
      </c>
      <c r="I189" t="s">
        <v>58</v>
      </c>
      <c r="J189" t="s">
        <v>59</v>
      </c>
      <c r="K189">
        <v>8</v>
      </c>
      <c r="L189" s="2">
        <v>4175</v>
      </c>
      <c r="M189" s="2">
        <f>Table1[[#This Row],[Cost_Price]]*Table1[[#This Row],[Quantity_Sold]]</f>
        <v>33400</v>
      </c>
      <c r="N189" s="2">
        <v>12078</v>
      </c>
      <c r="O189" s="5">
        <v>0.02</v>
      </c>
      <c r="P189" s="2">
        <v>96624</v>
      </c>
      <c r="Q189" s="2">
        <v>63224</v>
      </c>
      <c r="R189">
        <v>1</v>
      </c>
    </row>
    <row r="190" spans="1:18" x14ac:dyDescent="0.25">
      <c r="A190" t="s">
        <v>742</v>
      </c>
      <c r="B190" s="1">
        <v>45816</v>
      </c>
      <c r="C190" t="s">
        <v>71</v>
      </c>
      <c r="D190" t="s">
        <v>72</v>
      </c>
      <c r="E190" t="s">
        <v>64</v>
      </c>
      <c r="F190" t="s">
        <v>98</v>
      </c>
      <c r="G190" t="s">
        <v>44</v>
      </c>
      <c r="H190" t="s">
        <v>45</v>
      </c>
      <c r="I190" t="s">
        <v>58</v>
      </c>
      <c r="J190" t="s">
        <v>28</v>
      </c>
      <c r="K190">
        <v>8</v>
      </c>
      <c r="L190" s="2">
        <v>7015</v>
      </c>
      <c r="M190" s="2">
        <f>Table1[[#This Row],[Cost_Price]]*Table1[[#This Row],[Quantity_Sold]]</f>
        <v>56120</v>
      </c>
      <c r="N190" s="2">
        <v>14423</v>
      </c>
      <c r="O190" s="5">
        <v>0.1</v>
      </c>
      <c r="P190" s="2">
        <v>115384</v>
      </c>
      <c r="Q190" s="2">
        <v>59264</v>
      </c>
      <c r="R190" s="3" t="s">
        <v>1110</v>
      </c>
    </row>
    <row r="191" spans="1:18" x14ac:dyDescent="0.25">
      <c r="A191" t="s">
        <v>1138</v>
      </c>
      <c r="B191" s="1">
        <v>45547</v>
      </c>
      <c r="C191" t="s">
        <v>71</v>
      </c>
      <c r="D191" t="s">
        <v>72</v>
      </c>
      <c r="E191" t="s">
        <v>64</v>
      </c>
      <c r="F191" t="s">
        <v>98</v>
      </c>
      <c r="G191" t="s">
        <v>44</v>
      </c>
      <c r="H191" t="s">
        <v>45</v>
      </c>
      <c r="I191" t="s">
        <v>103</v>
      </c>
      <c r="J191" t="s">
        <v>28</v>
      </c>
      <c r="K191">
        <v>1</v>
      </c>
      <c r="L191" s="2">
        <v>11254</v>
      </c>
      <c r="M191" s="2">
        <f>Table1[[#This Row],[Cost_Price]]*Table1[[#This Row],[Quantity_Sold]]</f>
        <v>11254</v>
      </c>
      <c r="N191" s="2">
        <v>14254</v>
      </c>
      <c r="O191" s="5">
        <v>0.05</v>
      </c>
      <c r="P191" s="2">
        <v>14254</v>
      </c>
      <c r="Q191" s="2">
        <v>3000</v>
      </c>
      <c r="R191">
        <v>4</v>
      </c>
    </row>
    <row r="192" spans="1:18" x14ac:dyDescent="0.25">
      <c r="A192" t="s">
        <v>460</v>
      </c>
      <c r="B192" s="1">
        <v>45507</v>
      </c>
      <c r="C192" t="s">
        <v>77</v>
      </c>
      <c r="D192" t="s">
        <v>78</v>
      </c>
      <c r="E192" t="s">
        <v>64</v>
      </c>
      <c r="F192" t="s">
        <v>23</v>
      </c>
      <c r="G192" t="s">
        <v>44</v>
      </c>
      <c r="H192" t="s">
        <v>45</v>
      </c>
      <c r="I192" t="s">
        <v>58</v>
      </c>
      <c r="J192" t="s">
        <v>36</v>
      </c>
      <c r="K192">
        <v>7</v>
      </c>
      <c r="L192" s="2">
        <v>3913</v>
      </c>
      <c r="M192" s="2">
        <f>Table1[[#This Row],[Cost_Price]]*Table1[[#This Row],[Quantity_Sold]]</f>
        <v>27391</v>
      </c>
      <c r="N192" s="2">
        <v>4575</v>
      </c>
      <c r="O192" s="5">
        <v>0.04</v>
      </c>
      <c r="P192" s="2">
        <v>32025</v>
      </c>
      <c r="Q192" s="2">
        <v>4634</v>
      </c>
      <c r="R192">
        <v>5</v>
      </c>
    </row>
    <row r="193" spans="1:18" x14ac:dyDescent="0.25">
      <c r="A193" t="s">
        <v>330</v>
      </c>
      <c r="B193" s="1">
        <v>45302</v>
      </c>
      <c r="C193" t="s">
        <v>62</v>
      </c>
      <c r="D193" t="s">
        <v>63</v>
      </c>
      <c r="E193" t="s">
        <v>64</v>
      </c>
      <c r="F193" t="s">
        <v>98</v>
      </c>
      <c r="G193" t="s">
        <v>44</v>
      </c>
      <c r="H193" t="s">
        <v>45</v>
      </c>
      <c r="I193" t="s">
        <v>27</v>
      </c>
      <c r="J193" t="s">
        <v>54</v>
      </c>
      <c r="K193">
        <v>7</v>
      </c>
      <c r="L193" s="2">
        <v>13656</v>
      </c>
      <c r="M193" s="2">
        <f>Table1[[#This Row],[Cost_Price]]*Table1[[#This Row],[Quantity_Sold]]</f>
        <v>95592</v>
      </c>
      <c r="N193" s="2">
        <v>16996</v>
      </c>
      <c r="O193" s="5">
        <v>0.04</v>
      </c>
      <c r="P193" s="2">
        <v>118972</v>
      </c>
      <c r="Q193" s="2">
        <v>23380</v>
      </c>
      <c r="R193" s="3" t="s">
        <v>1110</v>
      </c>
    </row>
    <row r="194" spans="1:18" x14ac:dyDescent="0.25">
      <c r="A194" t="s">
        <v>320</v>
      </c>
      <c r="B194" s="1">
        <v>45664</v>
      </c>
      <c r="C194" t="s">
        <v>106</v>
      </c>
      <c r="D194" t="s">
        <v>107</v>
      </c>
      <c r="E194" t="s">
        <v>41</v>
      </c>
      <c r="F194" t="s">
        <v>73</v>
      </c>
      <c r="G194" t="s">
        <v>25</v>
      </c>
      <c r="H194" t="s">
        <v>26</v>
      </c>
      <c r="I194" t="s">
        <v>58</v>
      </c>
      <c r="J194" t="s">
        <v>28</v>
      </c>
      <c r="K194">
        <v>8</v>
      </c>
      <c r="L194" s="2">
        <v>9645</v>
      </c>
      <c r="M194" s="2">
        <f>Table1[[#This Row],[Cost_Price]]*Table1[[#This Row],[Quantity_Sold]]</f>
        <v>77160</v>
      </c>
      <c r="N194" s="2">
        <v>15467</v>
      </c>
      <c r="O194" s="5">
        <v>0.02</v>
      </c>
      <c r="P194" s="2">
        <v>123736</v>
      </c>
      <c r="Q194" s="2">
        <v>46576</v>
      </c>
      <c r="R194">
        <v>4</v>
      </c>
    </row>
    <row r="195" spans="1:18" x14ac:dyDescent="0.25">
      <c r="A195" t="s">
        <v>666</v>
      </c>
      <c r="B195" s="1">
        <v>45470</v>
      </c>
      <c r="C195" t="s">
        <v>131</v>
      </c>
      <c r="D195" t="s">
        <v>132</v>
      </c>
      <c r="E195" t="s">
        <v>64</v>
      </c>
      <c r="F195" t="s">
        <v>92</v>
      </c>
      <c r="G195" t="s">
        <v>44</v>
      </c>
      <c r="H195" t="s">
        <v>45</v>
      </c>
      <c r="I195" t="s">
        <v>103</v>
      </c>
      <c r="J195" t="s">
        <v>59</v>
      </c>
      <c r="K195">
        <v>6</v>
      </c>
      <c r="L195" s="2">
        <v>14718</v>
      </c>
      <c r="M195" s="2">
        <f>Table1[[#This Row],[Cost_Price]]*Table1[[#This Row],[Quantity_Sold]]</f>
        <v>88308</v>
      </c>
      <c r="N195" s="2">
        <v>21898</v>
      </c>
      <c r="O195" s="5">
        <v>0</v>
      </c>
      <c r="P195" s="2">
        <v>131388</v>
      </c>
      <c r="Q195" s="2">
        <v>43080</v>
      </c>
      <c r="R195">
        <v>2</v>
      </c>
    </row>
    <row r="196" spans="1:18" x14ac:dyDescent="0.25">
      <c r="A196" t="s">
        <v>845</v>
      </c>
      <c r="B196" s="1">
        <v>45387</v>
      </c>
      <c r="C196" t="s">
        <v>131</v>
      </c>
      <c r="D196" t="s">
        <v>132</v>
      </c>
      <c r="E196" t="s">
        <v>64</v>
      </c>
      <c r="F196" t="s">
        <v>1110</v>
      </c>
      <c r="G196" t="s">
        <v>25</v>
      </c>
      <c r="H196" t="s">
        <v>35</v>
      </c>
      <c r="I196" t="s">
        <v>103</v>
      </c>
      <c r="J196" t="s">
        <v>28</v>
      </c>
      <c r="K196">
        <v>1</v>
      </c>
      <c r="L196" s="2">
        <v>7129</v>
      </c>
      <c r="M196" s="2">
        <f>Table1[[#This Row],[Cost_Price]]*Table1[[#This Row],[Quantity_Sold]]</f>
        <v>7129</v>
      </c>
      <c r="N196" s="2">
        <v>8786</v>
      </c>
      <c r="O196" s="5">
        <v>0.1</v>
      </c>
      <c r="P196" s="2">
        <v>8786</v>
      </c>
      <c r="Q196" s="2">
        <v>1657</v>
      </c>
      <c r="R196">
        <v>2</v>
      </c>
    </row>
    <row r="197" spans="1:18" x14ac:dyDescent="0.25">
      <c r="A197" t="s">
        <v>551</v>
      </c>
      <c r="B197" s="1">
        <v>45679</v>
      </c>
      <c r="C197" t="s">
        <v>82</v>
      </c>
      <c r="D197" t="s">
        <v>83</v>
      </c>
      <c r="E197" t="s">
        <v>51</v>
      </c>
      <c r="F197" t="s">
        <v>23</v>
      </c>
      <c r="G197" t="s">
        <v>44</v>
      </c>
      <c r="H197" t="s">
        <v>35</v>
      </c>
      <c r="I197" t="s">
        <v>103</v>
      </c>
      <c r="J197" t="s">
        <v>36</v>
      </c>
      <c r="K197">
        <v>2</v>
      </c>
      <c r="L197" s="2">
        <v>4769</v>
      </c>
      <c r="M197" s="2">
        <f>Table1[[#This Row],[Cost_Price]]*Table1[[#This Row],[Quantity_Sold]]</f>
        <v>9538</v>
      </c>
      <c r="N197" s="2">
        <v>10033</v>
      </c>
      <c r="O197" s="5">
        <v>0</v>
      </c>
      <c r="P197" s="2">
        <v>20066</v>
      </c>
      <c r="Q197" s="2">
        <v>10528</v>
      </c>
      <c r="R197" s="3" t="s">
        <v>1110</v>
      </c>
    </row>
    <row r="198" spans="1:18" x14ac:dyDescent="0.25">
      <c r="A198" t="s">
        <v>285</v>
      </c>
      <c r="B198" s="1">
        <v>45749</v>
      </c>
      <c r="C198" t="s">
        <v>149</v>
      </c>
      <c r="D198" t="s">
        <v>150</v>
      </c>
      <c r="E198" t="s">
        <v>51</v>
      </c>
      <c r="F198" t="s">
        <v>98</v>
      </c>
      <c r="G198" t="s">
        <v>44</v>
      </c>
      <c r="H198" t="s">
        <v>45</v>
      </c>
      <c r="I198" t="s">
        <v>103</v>
      </c>
      <c r="J198" t="s">
        <v>54</v>
      </c>
      <c r="K198">
        <v>5</v>
      </c>
      <c r="L198" s="2">
        <v>9338</v>
      </c>
      <c r="M198" s="2">
        <f>Table1[[#This Row],[Cost_Price]]*Table1[[#This Row],[Quantity_Sold]]</f>
        <v>46690</v>
      </c>
      <c r="N198" s="2">
        <v>10565</v>
      </c>
      <c r="O198" s="5">
        <v>0.05</v>
      </c>
      <c r="P198" s="2">
        <v>52825</v>
      </c>
      <c r="Q198" s="2">
        <v>6135</v>
      </c>
      <c r="R198">
        <v>4</v>
      </c>
    </row>
    <row r="199" spans="1:18" x14ac:dyDescent="0.25">
      <c r="A199" t="s">
        <v>409</v>
      </c>
      <c r="B199" s="1">
        <v>45525</v>
      </c>
      <c r="C199" t="s">
        <v>96</v>
      </c>
      <c r="D199" t="s">
        <v>97</v>
      </c>
      <c r="E199" t="s">
        <v>51</v>
      </c>
      <c r="F199" t="s">
        <v>1110</v>
      </c>
      <c r="G199" t="s">
        <v>44</v>
      </c>
      <c r="H199" t="s">
        <v>26</v>
      </c>
      <c r="I199" t="s">
        <v>58</v>
      </c>
      <c r="J199" t="s">
        <v>28</v>
      </c>
      <c r="K199">
        <v>6</v>
      </c>
      <c r="L199" s="2">
        <v>6400</v>
      </c>
      <c r="M199" s="2">
        <f>Table1[[#This Row],[Cost_Price]]*Table1[[#This Row],[Quantity_Sold]]</f>
        <v>38400</v>
      </c>
      <c r="N199" s="2">
        <v>14154</v>
      </c>
      <c r="O199" s="5">
        <v>0.1</v>
      </c>
      <c r="P199" s="2">
        <v>84924</v>
      </c>
      <c r="Q199" s="2">
        <v>46524</v>
      </c>
      <c r="R199">
        <v>2</v>
      </c>
    </row>
    <row r="200" spans="1:18" x14ac:dyDescent="0.25">
      <c r="A200" t="s">
        <v>615</v>
      </c>
      <c r="B200" s="1">
        <v>45463</v>
      </c>
      <c r="C200" t="s">
        <v>117</v>
      </c>
      <c r="D200" t="s">
        <v>118</v>
      </c>
      <c r="E200" t="s">
        <v>41</v>
      </c>
      <c r="F200" t="s">
        <v>42</v>
      </c>
      <c r="G200" t="s">
        <v>44</v>
      </c>
      <c r="H200" t="s">
        <v>26</v>
      </c>
      <c r="I200" t="s">
        <v>103</v>
      </c>
      <c r="J200" t="s">
        <v>28</v>
      </c>
      <c r="K200">
        <v>7</v>
      </c>
      <c r="L200" s="2">
        <v>6707</v>
      </c>
      <c r="M200" s="2">
        <f>Table1[[#This Row],[Cost_Price]]*Table1[[#This Row],[Quantity_Sold]]</f>
        <v>46949</v>
      </c>
      <c r="N200" s="2">
        <v>10560</v>
      </c>
      <c r="O200" s="5">
        <v>0</v>
      </c>
      <c r="P200" s="2">
        <v>73920</v>
      </c>
      <c r="Q200" s="2">
        <v>26971</v>
      </c>
      <c r="R200">
        <v>3</v>
      </c>
    </row>
    <row r="201" spans="1:18" x14ac:dyDescent="0.25">
      <c r="A201" t="s">
        <v>508</v>
      </c>
      <c r="B201" s="1">
        <v>45802</v>
      </c>
      <c r="C201" t="s">
        <v>117</v>
      </c>
      <c r="D201" t="s">
        <v>118</v>
      </c>
      <c r="E201" t="s">
        <v>41</v>
      </c>
      <c r="F201" t="s">
        <v>23</v>
      </c>
      <c r="G201" t="s">
        <v>44</v>
      </c>
      <c r="H201" t="s">
        <v>35</v>
      </c>
      <c r="I201" t="s">
        <v>103</v>
      </c>
      <c r="J201" t="s">
        <v>28</v>
      </c>
      <c r="K201">
        <v>6</v>
      </c>
      <c r="L201" s="2">
        <v>13516</v>
      </c>
      <c r="M201" s="2">
        <f>Table1[[#This Row],[Cost_Price]]*Table1[[#This Row],[Quantity_Sold]]</f>
        <v>81096</v>
      </c>
      <c r="N201" s="2">
        <v>21104</v>
      </c>
      <c r="O201" s="5">
        <v>0.02</v>
      </c>
      <c r="P201" s="2">
        <v>126624</v>
      </c>
      <c r="Q201" s="2">
        <v>45528</v>
      </c>
      <c r="R201" s="3" t="s">
        <v>1110</v>
      </c>
    </row>
    <row r="202" spans="1:18" x14ac:dyDescent="0.25">
      <c r="A202" t="s">
        <v>80</v>
      </c>
      <c r="B202" s="1">
        <v>45708</v>
      </c>
      <c r="C202" t="s">
        <v>96</v>
      </c>
      <c r="D202" t="s">
        <v>97</v>
      </c>
      <c r="E202" t="s">
        <v>51</v>
      </c>
      <c r="F202" t="s">
        <v>1110</v>
      </c>
      <c r="G202" t="s">
        <v>44</v>
      </c>
      <c r="H202" t="s">
        <v>26</v>
      </c>
      <c r="I202" t="s">
        <v>103</v>
      </c>
      <c r="J202" t="s">
        <v>36</v>
      </c>
      <c r="K202">
        <v>3</v>
      </c>
      <c r="L202" s="2">
        <v>4382</v>
      </c>
      <c r="M202" s="2">
        <f>Table1[[#This Row],[Cost_Price]]*Table1[[#This Row],[Quantity_Sold]]</f>
        <v>13146</v>
      </c>
      <c r="N202" s="2">
        <v>6250</v>
      </c>
      <c r="O202" s="5">
        <v>0.04</v>
      </c>
      <c r="P202" s="2">
        <v>18750</v>
      </c>
      <c r="Q202" s="2">
        <v>5604</v>
      </c>
      <c r="R202">
        <v>4</v>
      </c>
    </row>
    <row r="203" spans="1:18" x14ac:dyDescent="0.25">
      <c r="A203" t="s">
        <v>908</v>
      </c>
      <c r="B203" s="1">
        <v>45540</v>
      </c>
      <c r="C203" t="s">
        <v>141</v>
      </c>
      <c r="D203" t="s">
        <v>142</v>
      </c>
      <c r="E203" t="s">
        <v>51</v>
      </c>
      <c r="F203" t="s">
        <v>92</v>
      </c>
      <c r="G203" t="s">
        <v>25</v>
      </c>
      <c r="H203" t="s">
        <v>35</v>
      </c>
      <c r="I203" t="s">
        <v>58</v>
      </c>
      <c r="J203" t="s">
        <v>28</v>
      </c>
      <c r="K203">
        <v>2</v>
      </c>
      <c r="L203" s="2">
        <v>3583</v>
      </c>
      <c r="M203" s="2">
        <f>Table1[[#This Row],[Cost_Price]]*Table1[[#This Row],[Quantity_Sold]]</f>
        <v>7166</v>
      </c>
      <c r="N203" s="2">
        <v>10611</v>
      </c>
      <c r="O203" s="5">
        <v>0.1</v>
      </c>
      <c r="P203" s="2">
        <v>21222</v>
      </c>
      <c r="Q203" s="2">
        <v>14056</v>
      </c>
      <c r="R203">
        <v>1</v>
      </c>
    </row>
    <row r="204" spans="1:18" x14ac:dyDescent="0.25">
      <c r="A204" t="s">
        <v>1139</v>
      </c>
      <c r="B204" s="1">
        <v>45789</v>
      </c>
      <c r="C204" t="s">
        <v>62</v>
      </c>
      <c r="D204" t="s">
        <v>63</v>
      </c>
      <c r="E204" t="s">
        <v>64</v>
      </c>
      <c r="F204" t="s">
        <v>98</v>
      </c>
      <c r="G204" t="s">
        <v>44</v>
      </c>
      <c r="H204" t="s">
        <v>26</v>
      </c>
      <c r="I204" t="s">
        <v>103</v>
      </c>
      <c r="J204" t="s">
        <v>59</v>
      </c>
      <c r="K204">
        <v>7</v>
      </c>
      <c r="L204" s="2">
        <v>11711</v>
      </c>
      <c r="M204" s="2">
        <f>Table1[[#This Row],[Cost_Price]]*Table1[[#This Row],[Quantity_Sold]]</f>
        <v>81977</v>
      </c>
      <c r="N204" s="2">
        <v>14742</v>
      </c>
      <c r="O204" s="5">
        <v>0.02</v>
      </c>
      <c r="P204" s="2">
        <v>103194</v>
      </c>
      <c r="Q204" s="2">
        <v>21217</v>
      </c>
      <c r="R204" s="3" t="s">
        <v>1110</v>
      </c>
    </row>
    <row r="205" spans="1:18" x14ac:dyDescent="0.25">
      <c r="A205" t="s">
        <v>100</v>
      </c>
      <c r="B205" s="1">
        <v>45367</v>
      </c>
      <c r="C205" t="s">
        <v>87</v>
      </c>
      <c r="D205" t="s">
        <v>88</v>
      </c>
      <c r="E205" t="s">
        <v>33</v>
      </c>
      <c r="F205" t="s">
        <v>73</v>
      </c>
      <c r="G205" t="s">
        <v>25</v>
      </c>
      <c r="H205" t="s">
        <v>26</v>
      </c>
      <c r="I205" t="s">
        <v>103</v>
      </c>
      <c r="J205" t="s">
        <v>59</v>
      </c>
      <c r="K205">
        <v>6</v>
      </c>
      <c r="L205" s="2">
        <v>12254</v>
      </c>
      <c r="M205" s="2">
        <f>Table1[[#This Row],[Cost_Price]]*Table1[[#This Row],[Quantity_Sold]]</f>
        <v>73524</v>
      </c>
      <c r="N205" s="2">
        <v>18720</v>
      </c>
      <c r="O205" s="5">
        <v>0.04</v>
      </c>
      <c r="P205" s="2">
        <v>112320</v>
      </c>
      <c r="Q205" s="2">
        <v>38796</v>
      </c>
      <c r="R205">
        <v>4</v>
      </c>
    </row>
    <row r="206" spans="1:18" x14ac:dyDescent="0.25">
      <c r="A206" t="s">
        <v>167</v>
      </c>
      <c r="B206" s="1">
        <v>45738</v>
      </c>
      <c r="C206" t="s">
        <v>96</v>
      </c>
      <c r="D206" t="s">
        <v>97</v>
      </c>
      <c r="E206" t="s">
        <v>51</v>
      </c>
      <c r="F206" t="s">
        <v>1110</v>
      </c>
      <c r="G206" t="s">
        <v>44</v>
      </c>
      <c r="H206" t="s">
        <v>45</v>
      </c>
      <c r="I206" t="s">
        <v>103</v>
      </c>
      <c r="J206" t="s">
        <v>36</v>
      </c>
      <c r="K206">
        <v>3</v>
      </c>
      <c r="L206" s="2">
        <v>4119</v>
      </c>
      <c r="M206" s="2">
        <f>Table1[[#This Row],[Cost_Price]]*Table1[[#This Row],[Quantity_Sold]]</f>
        <v>12357</v>
      </c>
      <c r="N206" s="2">
        <v>8780</v>
      </c>
      <c r="O206" s="5">
        <v>0</v>
      </c>
      <c r="P206" s="2">
        <v>26340</v>
      </c>
      <c r="Q206" s="2">
        <v>13983</v>
      </c>
      <c r="R206">
        <v>5</v>
      </c>
    </row>
    <row r="207" spans="1:18" x14ac:dyDescent="0.25">
      <c r="A207" t="s">
        <v>1024</v>
      </c>
      <c r="B207" s="1">
        <v>45522</v>
      </c>
      <c r="C207" t="s">
        <v>117</v>
      </c>
      <c r="D207" t="s">
        <v>118</v>
      </c>
      <c r="E207" t="s">
        <v>41</v>
      </c>
      <c r="F207" t="s">
        <v>23</v>
      </c>
      <c r="G207" t="s">
        <v>44</v>
      </c>
      <c r="H207" t="s">
        <v>26</v>
      </c>
      <c r="I207" t="s">
        <v>103</v>
      </c>
      <c r="J207" t="s">
        <v>36</v>
      </c>
      <c r="K207">
        <v>3</v>
      </c>
      <c r="L207" s="2">
        <v>6390</v>
      </c>
      <c r="M207" s="2">
        <f>Table1[[#This Row],[Cost_Price]]*Table1[[#This Row],[Quantity_Sold]]</f>
        <v>19170</v>
      </c>
      <c r="N207" s="2">
        <v>12363</v>
      </c>
      <c r="O207" s="5">
        <v>0.05</v>
      </c>
      <c r="P207" s="2">
        <v>37089</v>
      </c>
      <c r="Q207" s="2">
        <v>17919</v>
      </c>
      <c r="R207">
        <v>2</v>
      </c>
    </row>
    <row r="208" spans="1:18" x14ac:dyDescent="0.25">
      <c r="A208" t="s">
        <v>349</v>
      </c>
      <c r="B208" s="1">
        <v>45327</v>
      </c>
      <c r="C208" t="s">
        <v>149</v>
      </c>
      <c r="D208" t="s">
        <v>150</v>
      </c>
      <c r="E208" t="s">
        <v>51</v>
      </c>
      <c r="F208" t="s">
        <v>42</v>
      </c>
      <c r="G208" t="s">
        <v>25</v>
      </c>
      <c r="H208" t="s">
        <v>26</v>
      </c>
      <c r="I208" t="s">
        <v>103</v>
      </c>
      <c r="J208" t="s">
        <v>59</v>
      </c>
      <c r="K208">
        <v>2</v>
      </c>
      <c r="L208" s="2">
        <v>10614</v>
      </c>
      <c r="M208" s="2">
        <f>Table1[[#This Row],[Cost_Price]]*Table1[[#This Row],[Quantity_Sold]]</f>
        <v>21228</v>
      </c>
      <c r="N208" s="2">
        <v>18462</v>
      </c>
      <c r="O208" s="5">
        <v>0.1</v>
      </c>
      <c r="P208" s="2">
        <v>36924</v>
      </c>
      <c r="Q208" s="2">
        <v>15696</v>
      </c>
      <c r="R208" s="3" t="s">
        <v>1110</v>
      </c>
    </row>
    <row r="209" spans="1:18" x14ac:dyDescent="0.25">
      <c r="A209" t="s">
        <v>327</v>
      </c>
      <c r="B209" s="1">
        <v>45627</v>
      </c>
      <c r="C209" t="s">
        <v>117</v>
      </c>
      <c r="D209" t="s">
        <v>118</v>
      </c>
      <c r="E209" t="s">
        <v>41</v>
      </c>
      <c r="F209" t="s">
        <v>98</v>
      </c>
      <c r="G209" t="s">
        <v>44</v>
      </c>
      <c r="H209" t="s">
        <v>35</v>
      </c>
      <c r="I209" t="s">
        <v>103</v>
      </c>
      <c r="J209" t="s">
        <v>54</v>
      </c>
      <c r="K209">
        <v>1</v>
      </c>
      <c r="L209" s="2">
        <v>3145</v>
      </c>
      <c r="M209" s="2">
        <f>Table1[[#This Row],[Cost_Price]]*Table1[[#This Row],[Quantity_Sold]]</f>
        <v>3145</v>
      </c>
      <c r="N209" s="2">
        <v>7324</v>
      </c>
      <c r="O209" s="5">
        <v>0.1</v>
      </c>
      <c r="P209" s="2">
        <v>7324</v>
      </c>
      <c r="Q209" s="2">
        <v>4179</v>
      </c>
      <c r="R209">
        <v>2</v>
      </c>
    </row>
    <row r="210" spans="1:18" x14ac:dyDescent="0.25">
      <c r="A210" t="s">
        <v>112</v>
      </c>
      <c r="B210" s="1">
        <v>45730</v>
      </c>
      <c r="C210" t="s">
        <v>278</v>
      </c>
      <c r="D210" t="s">
        <v>279</v>
      </c>
      <c r="E210" t="s">
        <v>64</v>
      </c>
      <c r="F210" t="s">
        <v>92</v>
      </c>
      <c r="G210" t="s">
        <v>44</v>
      </c>
      <c r="H210" t="s">
        <v>35</v>
      </c>
      <c r="I210" t="s">
        <v>27</v>
      </c>
      <c r="J210" t="s">
        <v>54</v>
      </c>
      <c r="K210">
        <v>3</v>
      </c>
      <c r="L210" s="2">
        <v>6686</v>
      </c>
      <c r="M210" s="2">
        <f>Table1[[#This Row],[Cost_Price]]*Table1[[#This Row],[Quantity_Sold]]</f>
        <v>20058</v>
      </c>
      <c r="N210" s="2">
        <v>8093</v>
      </c>
      <c r="O210" s="5">
        <v>0.04</v>
      </c>
      <c r="P210" s="2">
        <v>24279</v>
      </c>
      <c r="Q210" s="2">
        <v>4221</v>
      </c>
      <c r="R210" s="3" t="s">
        <v>1110</v>
      </c>
    </row>
    <row r="211" spans="1:18" x14ac:dyDescent="0.25">
      <c r="A211" t="s">
        <v>648</v>
      </c>
      <c r="B211" s="1">
        <v>45563</v>
      </c>
      <c r="C211" t="s">
        <v>106</v>
      </c>
      <c r="D211" t="s">
        <v>107</v>
      </c>
      <c r="E211" t="s">
        <v>41</v>
      </c>
      <c r="F211" t="s">
        <v>42</v>
      </c>
      <c r="G211" t="s">
        <v>25</v>
      </c>
      <c r="H211" t="s">
        <v>26</v>
      </c>
      <c r="I211" t="s">
        <v>103</v>
      </c>
      <c r="J211" t="s">
        <v>28</v>
      </c>
      <c r="K211">
        <v>3</v>
      </c>
      <c r="L211" s="2">
        <v>1062</v>
      </c>
      <c r="M211" s="2">
        <f>Table1[[#This Row],[Cost_Price]]*Table1[[#This Row],[Quantity_Sold]]</f>
        <v>3186</v>
      </c>
      <c r="N211" s="2">
        <v>6156</v>
      </c>
      <c r="O211" s="5">
        <v>0.1</v>
      </c>
      <c r="P211" s="2">
        <v>18468</v>
      </c>
      <c r="Q211" s="2">
        <v>15282</v>
      </c>
      <c r="R211" s="3" t="s">
        <v>1110</v>
      </c>
    </row>
    <row r="212" spans="1:18" x14ac:dyDescent="0.25">
      <c r="A212" t="s">
        <v>559</v>
      </c>
      <c r="B212" s="1">
        <v>45685</v>
      </c>
      <c r="C212" t="s">
        <v>49</v>
      </c>
      <c r="D212" t="s">
        <v>83</v>
      </c>
      <c r="E212" t="s">
        <v>51</v>
      </c>
      <c r="F212" t="s">
        <v>92</v>
      </c>
      <c r="G212" t="s">
        <v>25</v>
      </c>
      <c r="H212" t="s">
        <v>26</v>
      </c>
      <c r="I212" t="s">
        <v>120</v>
      </c>
      <c r="J212" t="s">
        <v>36</v>
      </c>
      <c r="K212">
        <v>8</v>
      </c>
      <c r="L212" s="2">
        <v>7354</v>
      </c>
      <c r="M212" s="2">
        <f>Table1[[#This Row],[Cost_Price]]*Table1[[#This Row],[Quantity_Sold]]</f>
        <v>58832</v>
      </c>
      <c r="N212" s="2">
        <v>10190</v>
      </c>
      <c r="O212" s="5">
        <v>0.02</v>
      </c>
      <c r="P212" s="2">
        <v>81520</v>
      </c>
      <c r="Q212" s="2">
        <v>22688</v>
      </c>
      <c r="R212">
        <v>3</v>
      </c>
    </row>
    <row r="213" spans="1:18" x14ac:dyDescent="0.25">
      <c r="A213" t="s">
        <v>214</v>
      </c>
      <c r="B213" s="1">
        <v>45391</v>
      </c>
      <c r="C213" t="s">
        <v>87</v>
      </c>
      <c r="D213" t="s">
        <v>88</v>
      </c>
      <c r="E213" t="s">
        <v>33</v>
      </c>
      <c r="F213" t="s">
        <v>42</v>
      </c>
      <c r="G213" t="s">
        <v>44</v>
      </c>
      <c r="H213" t="s">
        <v>35</v>
      </c>
      <c r="I213" t="s">
        <v>103</v>
      </c>
      <c r="J213" t="s">
        <v>36</v>
      </c>
      <c r="K213">
        <v>8</v>
      </c>
      <c r="L213" s="2">
        <v>3924</v>
      </c>
      <c r="M213" s="2">
        <f>Table1[[#This Row],[Cost_Price]]*Table1[[#This Row],[Quantity_Sold]]</f>
        <v>31392</v>
      </c>
      <c r="N213" s="2">
        <v>8820</v>
      </c>
      <c r="O213" s="5">
        <v>0</v>
      </c>
      <c r="P213" s="2">
        <v>70560</v>
      </c>
      <c r="Q213" s="2">
        <v>39168</v>
      </c>
      <c r="R213">
        <v>3</v>
      </c>
    </row>
    <row r="214" spans="1:18" x14ac:dyDescent="0.25">
      <c r="A214" t="s">
        <v>1021</v>
      </c>
      <c r="B214" s="1">
        <v>45331</v>
      </c>
      <c r="C214" t="s">
        <v>131</v>
      </c>
      <c r="D214" t="s">
        <v>132</v>
      </c>
      <c r="E214" t="s">
        <v>64</v>
      </c>
      <c r="F214" t="s">
        <v>1110</v>
      </c>
      <c r="G214" t="s">
        <v>44</v>
      </c>
      <c r="H214" t="s">
        <v>35</v>
      </c>
      <c r="I214" t="s">
        <v>27</v>
      </c>
      <c r="J214" t="s">
        <v>54</v>
      </c>
      <c r="K214">
        <v>4</v>
      </c>
      <c r="L214" s="2">
        <v>11060</v>
      </c>
      <c r="M214" s="2">
        <f>Table1[[#This Row],[Cost_Price]]*Table1[[#This Row],[Quantity_Sold]]</f>
        <v>44240</v>
      </c>
      <c r="N214" s="2">
        <v>17407</v>
      </c>
      <c r="O214" s="5">
        <v>0</v>
      </c>
      <c r="P214" s="2">
        <v>69628</v>
      </c>
      <c r="Q214" s="2">
        <v>25388</v>
      </c>
      <c r="R214">
        <v>4</v>
      </c>
    </row>
    <row r="215" spans="1:18" x14ac:dyDescent="0.25">
      <c r="A215" t="s">
        <v>1140</v>
      </c>
      <c r="B215" s="1">
        <v>45769</v>
      </c>
      <c r="C215" t="s">
        <v>141</v>
      </c>
      <c r="D215" t="s">
        <v>142</v>
      </c>
      <c r="E215" t="s">
        <v>51</v>
      </c>
      <c r="F215" t="s">
        <v>98</v>
      </c>
      <c r="G215" t="s">
        <v>25</v>
      </c>
      <c r="H215" t="s">
        <v>35</v>
      </c>
      <c r="I215" t="s">
        <v>103</v>
      </c>
      <c r="J215" t="s">
        <v>59</v>
      </c>
      <c r="K215">
        <v>2</v>
      </c>
      <c r="L215" s="2">
        <v>11818</v>
      </c>
      <c r="M215" s="2">
        <f>Table1[[#This Row],[Cost_Price]]*Table1[[#This Row],[Quantity_Sold]]</f>
        <v>23636</v>
      </c>
      <c r="N215" s="2">
        <v>16164</v>
      </c>
      <c r="O215" s="5">
        <v>0.1</v>
      </c>
      <c r="P215" s="2">
        <v>32328</v>
      </c>
      <c r="Q215" s="2">
        <v>8692</v>
      </c>
      <c r="R215">
        <v>3</v>
      </c>
    </row>
    <row r="216" spans="1:18" x14ac:dyDescent="0.25">
      <c r="A216" t="s">
        <v>728</v>
      </c>
      <c r="B216" s="1">
        <v>45745</v>
      </c>
      <c r="C216" t="s">
        <v>39</v>
      </c>
      <c r="D216" t="s">
        <v>1108</v>
      </c>
      <c r="E216" t="s">
        <v>41</v>
      </c>
      <c r="F216" t="s">
        <v>92</v>
      </c>
      <c r="G216" t="s">
        <v>44</v>
      </c>
      <c r="H216" t="s">
        <v>26</v>
      </c>
      <c r="I216" t="s">
        <v>58</v>
      </c>
      <c r="J216" t="s">
        <v>28</v>
      </c>
      <c r="K216">
        <v>6</v>
      </c>
      <c r="L216" s="2">
        <v>7088</v>
      </c>
      <c r="M216" s="2">
        <f>Table1[[#This Row],[Cost_Price]]*Table1[[#This Row],[Quantity_Sold]]</f>
        <v>42528</v>
      </c>
      <c r="N216" s="2">
        <v>12503</v>
      </c>
      <c r="O216" s="5">
        <v>0.05</v>
      </c>
      <c r="P216" s="2">
        <v>75018</v>
      </c>
      <c r="Q216" s="2">
        <v>32490</v>
      </c>
      <c r="R216">
        <v>3</v>
      </c>
    </row>
    <row r="217" spans="1:18" x14ac:dyDescent="0.25">
      <c r="A217" t="s">
        <v>562</v>
      </c>
      <c r="B217" s="1">
        <v>45832</v>
      </c>
      <c r="C217" t="s">
        <v>49</v>
      </c>
      <c r="D217" t="s">
        <v>83</v>
      </c>
      <c r="E217" t="s">
        <v>51</v>
      </c>
      <c r="F217" t="s">
        <v>42</v>
      </c>
      <c r="G217" t="s">
        <v>25</v>
      </c>
      <c r="H217" t="s">
        <v>45</v>
      </c>
      <c r="I217" t="s">
        <v>103</v>
      </c>
      <c r="J217" t="s">
        <v>36</v>
      </c>
      <c r="K217">
        <v>5</v>
      </c>
      <c r="L217" s="2">
        <v>7326</v>
      </c>
      <c r="M217" s="2">
        <f>Table1[[#This Row],[Cost_Price]]*Table1[[#This Row],[Quantity_Sold]]</f>
        <v>36630</v>
      </c>
      <c r="N217" s="2">
        <v>8830</v>
      </c>
      <c r="O217" s="5">
        <v>0.1</v>
      </c>
      <c r="P217" s="2">
        <v>44150</v>
      </c>
      <c r="Q217" s="2">
        <v>7520</v>
      </c>
      <c r="R217">
        <v>4</v>
      </c>
    </row>
    <row r="218" spans="1:18" x14ac:dyDescent="0.25">
      <c r="A218" t="s">
        <v>731</v>
      </c>
      <c r="B218" s="1">
        <v>45604</v>
      </c>
      <c r="C218" t="s">
        <v>31</v>
      </c>
      <c r="D218" t="s">
        <v>32</v>
      </c>
      <c r="E218" t="s">
        <v>33</v>
      </c>
      <c r="F218" t="s">
        <v>23</v>
      </c>
      <c r="G218" t="s">
        <v>44</v>
      </c>
      <c r="H218" t="s">
        <v>45</v>
      </c>
      <c r="I218" t="s">
        <v>103</v>
      </c>
      <c r="J218" t="s">
        <v>36</v>
      </c>
      <c r="K218">
        <v>6</v>
      </c>
      <c r="L218" s="2">
        <v>12377</v>
      </c>
      <c r="M218" s="2">
        <f>Table1[[#This Row],[Cost_Price]]*Table1[[#This Row],[Quantity_Sold]]</f>
        <v>74262</v>
      </c>
      <c r="N218" s="2">
        <v>19156</v>
      </c>
      <c r="O218" s="5">
        <v>0.04</v>
      </c>
      <c r="P218" s="2">
        <v>114936</v>
      </c>
      <c r="Q218" s="2">
        <v>40674</v>
      </c>
      <c r="R218">
        <v>2</v>
      </c>
    </row>
    <row r="219" spans="1:18" x14ac:dyDescent="0.25">
      <c r="A219" t="s">
        <v>471</v>
      </c>
      <c r="B219" s="1">
        <v>45402</v>
      </c>
      <c r="C219" t="s">
        <v>149</v>
      </c>
      <c r="D219" t="s">
        <v>150</v>
      </c>
      <c r="E219" t="s">
        <v>51</v>
      </c>
      <c r="F219" t="s">
        <v>92</v>
      </c>
      <c r="G219" t="s">
        <v>44</v>
      </c>
      <c r="H219" t="s">
        <v>45</v>
      </c>
      <c r="I219" t="s">
        <v>103</v>
      </c>
      <c r="J219" t="s">
        <v>36</v>
      </c>
      <c r="K219">
        <v>2</v>
      </c>
      <c r="L219" s="2">
        <v>12008</v>
      </c>
      <c r="M219" s="2">
        <f>Table1[[#This Row],[Cost_Price]]*Table1[[#This Row],[Quantity_Sold]]</f>
        <v>24016</v>
      </c>
      <c r="N219" s="2">
        <v>17195</v>
      </c>
      <c r="O219" s="5">
        <v>0.04</v>
      </c>
      <c r="P219" s="2">
        <v>34390</v>
      </c>
      <c r="Q219" s="2">
        <v>10374</v>
      </c>
      <c r="R219" s="3" t="s">
        <v>1110</v>
      </c>
    </row>
    <row r="220" spans="1:18" x14ac:dyDescent="0.25">
      <c r="A220" t="s">
        <v>239</v>
      </c>
      <c r="B220" s="1">
        <v>45379</v>
      </c>
      <c r="C220" t="s">
        <v>278</v>
      </c>
      <c r="D220" t="s">
        <v>279</v>
      </c>
      <c r="E220" t="s">
        <v>64</v>
      </c>
      <c r="F220" t="s">
        <v>23</v>
      </c>
      <c r="G220" t="s">
        <v>25</v>
      </c>
      <c r="H220" t="s">
        <v>26</v>
      </c>
      <c r="I220" t="s">
        <v>58</v>
      </c>
      <c r="J220" t="s">
        <v>59</v>
      </c>
      <c r="K220">
        <v>1</v>
      </c>
      <c r="L220" s="2">
        <v>14413</v>
      </c>
      <c r="M220" s="2">
        <f>Table1[[#This Row],[Cost_Price]]*Table1[[#This Row],[Quantity_Sold]]</f>
        <v>14413</v>
      </c>
      <c r="N220" s="2">
        <v>21626</v>
      </c>
      <c r="O220" s="5">
        <v>0.05</v>
      </c>
      <c r="P220" s="2">
        <v>21626</v>
      </c>
      <c r="Q220" s="2">
        <v>7213</v>
      </c>
      <c r="R220">
        <v>2</v>
      </c>
    </row>
    <row r="221" spans="1:18" x14ac:dyDescent="0.25">
      <c r="A221" t="s">
        <v>312</v>
      </c>
      <c r="B221" s="1">
        <v>45819</v>
      </c>
      <c r="C221" t="s">
        <v>149</v>
      </c>
      <c r="D221" t="s">
        <v>150</v>
      </c>
      <c r="E221" t="s">
        <v>51</v>
      </c>
      <c r="F221" t="s">
        <v>98</v>
      </c>
      <c r="G221" t="s">
        <v>44</v>
      </c>
      <c r="H221" t="s">
        <v>45</v>
      </c>
      <c r="I221" t="s">
        <v>103</v>
      </c>
      <c r="J221" t="s">
        <v>36</v>
      </c>
      <c r="K221">
        <v>2</v>
      </c>
      <c r="L221" s="2">
        <v>14941</v>
      </c>
      <c r="M221" s="2">
        <f>Table1[[#This Row],[Cost_Price]]*Table1[[#This Row],[Quantity_Sold]]</f>
        <v>29882</v>
      </c>
      <c r="N221" s="2">
        <v>17556</v>
      </c>
      <c r="O221" s="5">
        <v>0.1</v>
      </c>
      <c r="P221" s="2">
        <v>35112</v>
      </c>
      <c r="Q221" s="2">
        <v>5230</v>
      </c>
      <c r="R221">
        <v>4</v>
      </c>
    </row>
    <row r="222" spans="1:18" x14ac:dyDescent="0.25">
      <c r="A222" t="s">
        <v>827</v>
      </c>
      <c r="B222" s="1">
        <v>45403</v>
      </c>
      <c r="C222" t="s">
        <v>62</v>
      </c>
      <c r="D222" t="s">
        <v>63</v>
      </c>
      <c r="E222" t="s">
        <v>64</v>
      </c>
      <c r="F222" t="s">
        <v>23</v>
      </c>
      <c r="G222" t="s">
        <v>44</v>
      </c>
      <c r="H222" t="s">
        <v>26</v>
      </c>
      <c r="I222" t="s">
        <v>58</v>
      </c>
      <c r="J222" t="s">
        <v>36</v>
      </c>
      <c r="K222">
        <v>7</v>
      </c>
      <c r="L222" s="2">
        <v>6277</v>
      </c>
      <c r="M222" s="2">
        <f>Table1[[#This Row],[Cost_Price]]*Table1[[#This Row],[Quantity_Sold]]</f>
        <v>43939</v>
      </c>
      <c r="N222" s="2">
        <v>7286</v>
      </c>
      <c r="O222" s="5">
        <v>0.02</v>
      </c>
      <c r="P222" s="2">
        <v>51002</v>
      </c>
      <c r="Q222" s="2">
        <v>7063</v>
      </c>
      <c r="R222" s="3" t="s">
        <v>1110</v>
      </c>
    </row>
    <row r="223" spans="1:18" x14ac:dyDescent="0.25">
      <c r="A223" t="s">
        <v>37</v>
      </c>
      <c r="B223" s="1">
        <v>45765</v>
      </c>
      <c r="C223" t="s">
        <v>96</v>
      </c>
      <c r="D223" t="s">
        <v>97</v>
      </c>
      <c r="E223" t="s">
        <v>51</v>
      </c>
      <c r="F223" t="s">
        <v>92</v>
      </c>
      <c r="G223" t="s">
        <v>25</v>
      </c>
      <c r="H223" t="s">
        <v>35</v>
      </c>
      <c r="I223" t="s">
        <v>120</v>
      </c>
      <c r="J223" t="s">
        <v>54</v>
      </c>
      <c r="K223">
        <v>2</v>
      </c>
      <c r="L223" s="2">
        <v>5557</v>
      </c>
      <c r="M223" s="2">
        <f>Table1[[#This Row],[Cost_Price]]*Table1[[#This Row],[Quantity_Sold]]</f>
        <v>11114</v>
      </c>
      <c r="N223" s="2">
        <v>6060</v>
      </c>
      <c r="O223" s="5">
        <v>0.02</v>
      </c>
      <c r="P223" s="2">
        <v>12120</v>
      </c>
      <c r="Q223" s="2">
        <v>1006</v>
      </c>
      <c r="R223">
        <v>2</v>
      </c>
    </row>
    <row r="224" spans="1:18" x14ac:dyDescent="0.25">
      <c r="A224" t="s">
        <v>29</v>
      </c>
      <c r="B224" s="1">
        <v>45803</v>
      </c>
      <c r="C224" t="s">
        <v>62</v>
      </c>
      <c r="D224" t="s">
        <v>63</v>
      </c>
      <c r="E224" t="s">
        <v>64</v>
      </c>
      <c r="F224" t="s">
        <v>1110</v>
      </c>
      <c r="G224" t="s">
        <v>25</v>
      </c>
      <c r="H224" t="s">
        <v>35</v>
      </c>
      <c r="I224" t="s">
        <v>27</v>
      </c>
      <c r="J224" t="s">
        <v>28</v>
      </c>
      <c r="K224">
        <v>4</v>
      </c>
      <c r="L224" s="2">
        <v>11903</v>
      </c>
      <c r="M224" s="2">
        <f>Table1[[#This Row],[Cost_Price]]*Table1[[#This Row],[Quantity_Sold]]</f>
        <v>47612</v>
      </c>
      <c r="N224" s="2">
        <v>17167</v>
      </c>
      <c r="O224" s="5">
        <v>0</v>
      </c>
      <c r="P224" s="2">
        <v>68668</v>
      </c>
      <c r="Q224" s="2">
        <v>21056</v>
      </c>
      <c r="R224">
        <v>3</v>
      </c>
    </row>
    <row r="225" spans="1:18" x14ac:dyDescent="0.25">
      <c r="A225" t="s">
        <v>301</v>
      </c>
      <c r="B225" s="1">
        <v>45478</v>
      </c>
      <c r="C225" t="s">
        <v>39</v>
      </c>
      <c r="D225" t="s">
        <v>1108</v>
      </c>
      <c r="E225" t="s">
        <v>41</v>
      </c>
      <c r="F225" t="s">
        <v>1110</v>
      </c>
      <c r="G225" t="s">
        <v>25</v>
      </c>
      <c r="H225" t="s">
        <v>26</v>
      </c>
      <c r="I225" t="s">
        <v>120</v>
      </c>
      <c r="J225" t="s">
        <v>28</v>
      </c>
      <c r="K225">
        <v>1</v>
      </c>
      <c r="L225" s="2">
        <v>12103</v>
      </c>
      <c r="M225" s="2">
        <f>Table1[[#This Row],[Cost_Price]]*Table1[[#This Row],[Quantity_Sold]]</f>
        <v>12103</v>
      </c>
      <c r="N225" s="2">
        <v>16398</v>
      </c>
      <c r="O225" s="5">
        <v>0</v>
      </c>
      <c r="P225" s="2">
        <v>16398</v>
      </c>
      <c r="Q225" s="2">
        <v>4295</v>
      </c>
      <c r="R225">
        <v>5</v>
      </c>
    </row>
    <row r="226" spans="1:18" x14ac:dyDescent="0.25">
      <c r="A226" t="s">
        <v>195</v>
      </c>
      <c r="B226" s="1">
        <v>45396</v>
      </c>
      <c r="C226" t="s">
        <v>106</v>
      </c>
      <c r="D226" t="s">
        <v>107</v>
      </c>
      <c r="E226" t="s">
        <v>41</v>
      </c>
      <c r="F226" t="s">
        <v>42</v>
      </c>
      <c r="G226" t="s">
        <v>44</v>
      </c>
      <c r="H226" t="s">
        <v>45</v>
      </c>
      <c r="I226" t="s">
        <v>103</v>
      </c>
      <c r="J226" t="s">
        <v>28</v>
      </c>
      <c r="K226">
        <v>2</v>
      </c>
      <c r="L226" s="2">
        <v>4671</v>
      </c>
      <c r="M226" s="2">
        <f>Table1[[#This Row],[Cost_Price]]*Table1[[#This Row],[Quantity_Sold]]</f>
        <v>9342</v>
      </c>
      <c r="N226" s="2">
        <v>9567</v>
      </c>
      <c r="O226" s="5">
        <v>0.1</v>
      </c>
      <c r="P226" s="2">
        <v>19134</v>
      </c>
      <c r="Q226" s="2">
        <v>9792</v>
      </c>
      <c r="R226">
        <v>4</v>
      </c>
    </row>
    <row r="227" spans="1:18" x14ac:dyDescent="0.25">
      <c r="A227" t="s">
        <v>707</v>
      </c>
      <c r="B227" s="1">
        <v>45792</v>
      </c>
      <c r="C227" t="s">
        <v>216</v>
      </c>
      <c r="D227" t="s">
        <v>217</v>
      </c>
      <c r="E227" t="s">
        <v>33</v>
      </c>
      <c r="F227" t="s">
        <v>23</v>
      </c>
      <c r="G227" t="s">
        <v>25</v>
      </c>
      <c r="H227" t="s">
        <v>45</v>
      </c>
      <c r="I227" t="s">
        <v>103</v>
      </c>
      <c r="J227" t="s">
        <v>36</v>
      </c>
      <c r="K227">
        <v>6</v>
      </c>
      <c r="L227" s="2">
        <v>3821</v>
      </c>
      <c r="M227" s="2">
        <f>Table1[[#This Row],[Cost_Price]]*Table1[[#This Row],[Quantity_Sold]]</f>
        <v>22926</v>
      </c>
      <c r="N227" s="2">
        <v>11789</v>
      </c>
      <c r="O227" s="5">
        <v>0.1</v>
      </c>
      <c r="P227" s="2">
        <v>70734</v>
      </c>
      <c r="Q227" s="2">
        <v>47808</v>
      </c>
      <c r="R227">
        <v>5</v>
      </c>
    </row>
    <row r="228" spans="1:18" x14ac:dyDescent="0.25">
      <c r="A228" t="s">
        <v>416</v>
      </c>
      <c r="B228" s="1">
        <v>45814</v>
      </c>
      <c r="C228" t="s">
        <v>87</v>
      </c>
      <c r="D228" t="s">
        <v>88</v>
      </c>
      <c r="E228" t="s">
        <v>33</v>
      </c>
      <c r="F228" t="s">
        <v>23</v>
      </c>
      <c r="G228" t="s">
        <v>44</v>
      </c>
      <c r="H228" t="s">
        <v>45</v>
      </c>
      <c r="I228" t="s">
        <v>103</v>
      </c>
      <c r="J228" t="s">
        <v>28</v>
      </c>
      <c r="K228">
        <v>3</v>
      </c>
      <c r="L228" s="2">
        <v>4716</v>
      </c>
      <c r="M228" s="2">
        <f>Table1[[#This Row],[Cost_Price]]*Table1[[#This Row],[Quantity_Sold]]</f>
        <v>14148</v>
      </c>
      <c r="N228" s="2">
        <v>10198</v>
      </c>
      <c r="O228" s="5">
        <v>0.04</v>
      </c>
      <c r="P228" s="2">
        <v>30594</v>
      </c>
      <c r="Q228" s="2">
        <v>16446</v>
      </c>
      <c r="R228">
        <v>2</v>
      </c>
    </row>
    <row r="229" spans="1:18" x14ac:dyDescent="0.25">
      <c r="A229" t="s">
        <v>1095</v>
      </c>
      <c r="B229" s="1">
        <v>45667</v>
      </c>
      <c r="C229" t="s">
        <v>141</v>
      </c>
      <c r="D229" t="s">
        <v>142</v>
      </c>
      <c r="E229" t="s">
        <v>51</v>
      </c>
      <c r="F229" t="s">
        <v>98</v>
      </c>
      <c r="G229" t="s">
        <v>44</v>
      </c>
      <c r="H229" t="s">
        <v>45</v>
      </c>
      <c r="I229" t="s">
        <v>120</v>
      </c>
      <c r="J229" t="s">
        <v>59</v>
      </c>
      <c r="K229">
        <v>5</v>
      </c>
      <c r="L229" s="2">
        <v>8544</v>
      </c>
      <c r="M229" s="2">
        <f>Table1[[#This Row],[Cost_Price]]*Table1[[#This Row],[Quantity_Sold]]</f>
        <v>42720</v>
      </c>
      <c r="N229" s="2">
        <v>13130</v>
      </c>
      <c r="O229" s="5">
        <v>0.1</v>
      </c>
      <c r="P229" s="2">
        <v>65650</v>
      </c>
      <c r="Q229" s="2">
        <v>22930</v>
      </c>
      <c r="R229">
        <v>4</v>
      </c>
    </row>
    <row r="230" spans="1:18" x14ac:dyDescent="0.25">
      <c r="A230" t="s">
        <v>164</v>
      </c>
      <c r="B230" s="1">
        <v>45359</v>
      </c>
      <c r="C230" t="s">
        <v>149</v>
      </c>
      <c r="D230" t="s">
        <v>150</v>
      </c>
      <c r="E230" t="s">
        <v>51</v>
      </c>
      <c r="F230" t="s">
        <v>73</v>
      </c>
      <c r="G230" t="s">
        <v>25</v>
      </c>
      <c r="H230" t="s">
        <v>26</v>
      </c>
      <c r="I230" t="s">
        <v>120</v>
      </c>
      <c r="J230" t="s">
        <v>59</v>
      </c>
      <c r="K230">
        <v>2</v>
      </c>
      <c r="L230" s="2">
        <v>6457</v>
      </c>
      <c r="M230" s="2">
        <f>Table1[[#This Row],[Cost_Price]]*Table1[[#This Row],[Quantity_Sold]]</f>
        <v>12914</v>
      </c>
      <c r="N230" s="2">
        <v>11805</v>
      </c>
      <c r="O230" s="5">
        <v>0.04</v>
      </c>
      <c r="P230" s="2">
        <v>23610</v>
      </c>
      <c r="Q230" s="2">
        <v>10696</v>
      </c>
      <c r="R230">
        <v>1</v>
      </c>
    </row>
    <row r="231" spans="1:18" x14ac:dyDescent="0.25">
      <c r="A231" t="s">
        <v>273</v>
      </c>
      <c r="B231" s="1">
        <v>45381</v>
      </c>
      <c r="C231" t="s">
        <v>82</v>
      </c>
      <c r="D231" t="s">
        <v>83</v>
      </c>
      <c r="E231" t="s">
        <v>51</v>
      </c>
      <c r="F231" t="s">
        <v>1110</v>
      </c>
      <c r="G231" t="s">
        <v>44</v>
      </c>
      <c r="H231" t="s">
        <v>35</v>
      </c>
      <c r="I231" t="s">
        <v>103</v>
      </c>
      <c r="J231" t="s">
        <v>59</v>
      </c>
      <c r="K231">
        <v>5</v>
      </c>
      <c r="L231" s="2">
        <v>12382</v>
      </c>
      <c r="M231" s="2">
        <f>Table1[[#This Row],[Cost_Price]]*Table1[[#This Row],[Quantity_Sold]]</f>
        <v>61910</v>
      </c>
      <c r="N231" s="2">
        <v>18893</v>
      </c>
      <c r="O231" s="5">
        <v>0.05</v>
      </c>
      <c r="P231" s="2">
        <v>94465</v>
      </c>
      <c r="Q231" s="2">
        <v>32555</v>
      </c>
      <c r="R231">
        <v>4</v>
      </c>
    </row>
    <row r="232" spans="1:18" x14ac:dyDescent="0.25">
      <c r="A232" t="s">
        <v>759</v>
      </c>
      <c r="B232" s="1">
        <v>45820</v>
      </c>
      <c r="C232" t="s">
        <v>82</v>
      </c>
      <c r="D232" t="s">
        <v>83</v>
      </c>
      <c r="E232" t="s">
        <v>51</v>
      </c>
      <c r="F232" t="s">
        <v>23</v>
      </c>
      <c r="G232" t="s">
        <v>25</v>
      </c>
      <c r="H232" t="s">
        <v>45</v>
      </c>
      <c r="I232" t="s">
        <v>103</v>
      </c>
      <c r="J232" t="s">
        <v>54</v>
      </c>
      <c r="K232">
        <v>5</v>
      </c>
      <c r="L232" s="2">
        <v>12822</v>
      </c>
      <c r="M232" s="2">
        <f>Table1[[#This Row],[Cost_Price]]*Table1[[#This Row],[Quantity_Sold]]</f>
        <v>64110</v>
      </c>
      <c r="N232" s="2">
        <v>18787</v>
      </c>
      <c r="O232" s="5">
        <v>0.02</v>
      </c>
      <c r="P232" s="2">
        <v>93935</v>
      </c>
      <c r="Q232" s="2">
        <v>29825</v>
      </c>
      <c r="R232">
        <v>3</v>
      </c>
    </row>
    <row r="233" spans="1:18" x14ac:dyDescent="0.25">
      <c r="A233" t="s">
        <v>161</v>
      </c>
      <c r="B233" s="1">
        <v>45500</v>
      </c>
      <c r="C233" t="s">
        <v>71</v>
      </c>
      <c r="D233" t="s">
        <v>72</v>
      </c>
      <c r="E233" t="s">
        <v>64</v>
      </c>
      <c r="F233" t="s">
        <v>98</v>
      </c>
      <c r="G233" t="s">
        <v>25</v>
      </c>
      <c r="H233" t="s">
        <v>45</v>
      </c>
      <c r="I233" t="s">
        <v>120</v>
      </c>
      <c r="J233" t="s">
        <v>28</v>
      </c>
      <c r="K233">
        <v>5</v>
      </c>
      <c r="L233" s="2">
        <v>10919</v>
      </c>
      <c r="M233" s="2">
        <f>Table1[[#This Row],[Cost_Price]]*Table1[[#This Row],[Quantity_Sold]]</f>
        <v>54595</v>
      </c>
      <c r="N233" s="2">
        <v>15675</v>
      </c>
      <c r="O233" s="5">
        <v>0.05</v>
      </c>
      <c r="P233" s="2">
        <v>78375</v>
      </c>
      <c r="Q233" s="2">
        <v>23780</v>
      </c>
      <c r="R233">
        <v>4</v>
      </c>
    </row>
    <row r="234" spans="1:18" x14ac:dyDescent="0.25">
      <c r="A234" t="s">
        <v>336</v>
      </c>
      <c r="B234" s="1">
        <v>45493</v>
      </c>
      <c r="C234" t="s">
        <v>241</v>
      </c>
      <c r="D234" t="s">
        <v>1109</v>
      </c>
      <c r="E234" t="s">
        <v>22</v>
      </c>
      <c r="F234" t="s">
        <v>98</v>
      </c>
      <c r="G234" t="s">
        <v>44</v>
      </c>
      <c r="H234" t="s">
        <v>35</v>
      </c>
      <c r="I234" t="s">
        <v>58</v>
      </c>
      <c r="J234" t="s">
        <v>59</v>
      </c>
      <c r="K234">
        <v>4</v>
      </c>
      <c r="L234" s="2">
        <v>4004</v>
      </c>
      <c r="M234" s="2">
        <f>Table1[[#This Row],[Cost_Price]]*Table1[[#This Row],[Quantity_Sold]]</f>
        <v>16016</v>
      </c>
      <c r="N234" s="2">
        <v>8400</v>
      </c>
      <c r="O234" s="5">
        <v>0</v>
      </c>
      <c r="P234" s="2">
        <v>33600</v>
      </c>
      <c r="Q234" s="2">
        <v>17584</v>
      </c>
      <c r="R234">
        <v>3</v>
      </c>
    </row>
    <row r="235" spans="1:18" x14ac:dyDescent="0.25">
      <c r="A235" t="s">
        <v>176</v>
      </c>
      <c r="B235" s="1">
        <v>45618</v>
      </c>
      <c r="C235" t="s">
        <v>141</v>
      </c>
      <c r="D235" t="s">
        <v>142</v>
      </c>
      <c r="E235" t="s">
        <v>51</v>
      </c>
      <c r="F235" t="s">
        <v>1110</v>
      </c>
      <c r="G235" t="s">
        <v>44</v>
      </c>
      <c r="H235" t="s">
        <v>45</v>
      </c>
      <c r="I235" t="s">
        <v>103</v>
      </c>
      <c r="J235" t="s">
        <v>54</v>
      </c>
      <c r="K235">
        <v>5</v>
      </c>
      <c r="L235" s="2">
        <v>12426</v>
      </c>
      <c r="M235" s="2">
        <f>Table1[[#This Row],[Cost_Price]]*Table1[[#This Row],[Quantity_Sold]]</f>
        <v>62130</v>
      </c>
      <c r="N235" s="2">
        <v>13176</v>
      </c>
      <c r="O235" s="5">
        <v>0.1</v>
      </c>
      <c r="P235" s="2">
        <v>65880</v>
      </c>
      <c r="Q235" s="2">
        <v>3750</v>
      </c>
      <c r="R235">
        <v>1</v>
      </c>
    </row>
    <row r="236" spans="1:18" x14ac:dyDescent="0.25">
      <c r="A236" t="s">
        <v>688</v>
      </c>
      <c r="B236" s="1">
        <v>45305</v>
      </c>
      <c r="C236" t="s">
        <v>87</v>
      </c>
      <c r="D236" t="s">
        <v>88</v>
      </c>
      <c r="E236" t="s">
        <v>33</v>
      </c>
      <c r="F236" t="s">
        <v>73</v>
      </c>
      <c r="G236" t="s">
        <v>25</v>
      </c>
      <c r="H236" t="s">
        <v>35</v>
      </c>
      <c r="I236" t="s">
        <v>120</v>
      </c>
      <c r="J236" t="s">
        <v>59</v>
      </c>
      <c r="K236">
        <v>8</v>
      </c>
      <c r="L236" s="2">
        <v>11549</v>
      </c>
      <c r="M236" s="2">
        <f>Table1[[#This Row],[Cost_Price]]*Table1[[#This Row],[Quantity_Sold]]</f>
        <v>92392</v>
      </c>
      <c r="N236" s="2">
        <v>18310</v>
      </c>
      <c r="O236" s="5">
        <v>0.02</v>
      </c>
      <c r="P236" s="2">
        <v>146480</v>
      </c>
      <c r="Q236" s="2">
        <v>54088</v>
      </c>
      <c r="R236">
        <v>1</v>
      </c>
    </row>
    <row r="237" spans="1:18" x14ac:dyDescent="0.25">
      <c r="A237" t="s">
        <v>1141</v>
      </c>
      <c r="B237" s="1">
        <v>45317</v>
      </c>
      <c r="C237" t="s">
        <v>87</v>
      </c>
      <c r="D237" t="s">
        <v>88</v>
      </c>
      <c r="E237" t="s">
        <v>33</v>
      </c>
      <c r="F237" t="s">
        <v>23</v>
      </c>
      <c r="G237" t="s">
        <v>44</v>
      </c>
      <c r="H237" t="s">
        <v>35</v>
      </c>
      <c r="I237" t="s">
        <v>120</v>
      </c>
      <c r="J237" t="s">
        <v>36</v>
      </c>
      <c r="K237">
        <v>8</v>
      </c>
      <c r="L237" s="2">
        <v>7883</v>
      </c>
      <c r="M237" s="2">
        <f>Table1[[#This Row],[Cost_Price]]*Table1[[#This Row],[Quantity_Sold]]</f>
        <v>63064</v>
      </c>
      <c r="N237" s="2">
        <v>14345</v>
      </c>
      <c r="O237" s="5">
        <v>0.1</v>
      </c>
      <c r="P237" s="2">
        <v>114760</v>
      </c>
      <c r="Q237" s="2">
        <v>51696</v>
      </c>
      <c r="R237">
        <v>5</v>
      </c>
    </row>
    <row r="238" spans="1:18" x14ac:dyDescent="0.25">
      <c r="A238" t="s">
        <v>270</v>
      </c>
      <c r="B238" s="1">
        <v>45380</v>
      </c>
      <c r="C238" t="s">
        <v>87</v>
      </c>
      <c r="D238" t="s">
        <v>88</v>
      </c>
      <c r="E238" t="s">
        <v>33</v>
      </c>
      <c r="F238" t="s">
        <v>1110</v>
      </c>
      <c r="G238" t="s">
        <v>25</v>
      </c>
      <c r="H238" t="s">
        <v>45</v>
      </c>
      <c r="I238" t="s">
        <v>103</v>
      </c>
      <c r="J238" t="s">
        <v>59</v>
      </c>
      <c r="K238">
        <v>5</v>
      </c>
      <c r="L238" s="2">
        <v>2595</v>
      </c>
      <c r="M238" s="2">
        <f>Table1[[#This Row],[Cost_Price]]*Table1[[#This Row],[Quantity_Sold]]</f>
        <v>12975</v>
      </c>
      <c r="N238" s="2">
        <v>5150</v>
      </c>
      <c r="O238" s="5">
        <v>0.04</v>
      </c>
      <c r="P238" s="2">
        <v>25750</v>
      </c>
      <c r="Q238" s="2">
        <v>12775</v>
      </c>
      <c r="R238">
        <v>2</v>
      </c>
    </row>
    <row r="239" spans="1:18" x14ac:dyDescent="0.25">
      <c r="A239" t="s">
        <v>1142</v>
      </c>
      <c r="B239" s="1">
        <v>45813</v>
      </c>
      <c r="C239" t="s">
        <v>149</v>
      </c>
      <c r="D239" t="s">
        <v>150</v>
      </c>
      <c r="E239" t="s">
        <v>51</v>
      </c>
      <c r="F239" t="s">
        <v>42</v>
      </c>
      <c r="G239" t="s">
        <v>25</v>
      </c>
      <c r="H239" t="s">
        <v>26</v>
      </c>
      <c r="I239" t="s">
        <v>58</v>
      </c>
      <c r="J239" t="s">
        <v>36</v>
      </c>
      <c r="K239">
        <v>4</v>
      </c>
      <c r="L239" s="2">
        <v>8218</v>
      </c>
      <c r="M239" s="2">
        <f>Table1[[#This Row],[Cost_Price]]*Table1[[#This Row],[Quantity_Sold]]</f>
        <v>32872</v>
      </c>
      <c r="N239" s="2">
        <v>13054</v>
      </c>
      <c r="O239" s="5">
        <v>0.02</v>
      </c>
      <c r="P239" s="2">
        <v>52216</v>
      </c>
      <c r="Q239" s="2">
        <v>19344</v>
      </c>
      <c r="R239">
        <v>1</v>
      </c>
    </row>
    <row r="240" spans="1:18" x14ac:dyDescent="0.25">
      <c r="A240" t="s">
        <v>776</v>
      </c>
      <c r="B240" s="1">
        <v>45321</v>
      </c>
      <c r="C240" t="s">
        <v>20</v>
      </c>
      <c r="D240" t="s">
        <v>1107</v>
      </c>
      <c r="E240" t="s">
        <v>22</v>
      </c>
      <c r="F240" t="s">
        <v>92</v>
      </c>
      <c r="G240" t="s">
        <v>25</v>
      </c>
      <c r="H240" t="s">
        <v>45</v>
      </c>
      <c r="I240" t="s">
        <v>27</v>
      </c>
      <c r="J240" t="s">
        <v>36</v>
      </c>
      <c r="K240">
        <v>5</v>
      </c>
      <c r="L240" s="2">
        <v>3241</v>
      </c>
      <c r="M240" s="2">
        <f>Table1[[#This Row],[Cost_Price]]*Table1[[#This Row],[Quantity_Sold]]</f>
        <v>16205</v>
      </c>
      <c r="N240" s="2">
        <v>4239</v>
      </c>
      <c r="O240" s="5">
        <v>0.05</v>
      </c>
      <c r="P240" s="2">
        <v>21195</v>
      </c>
      <c r="Q240" s="2">
        <v>4990</v>
      </c>
      <c r="R240">
        <v>1</v>
      </c>
    </row>
    <row r="241" spans="1:18" x14ac:dyDescent="0.25">
      <c r="A241" t="s">
        <v>296</v>
      </c>
      <c r="B241" s="1">
        <v>45629</v>
      </c>
      <c r="C241" t="s">
        <v>31</v>
      </c>
      <c r="D241" t="s">
        <v>32</v>
      </c>
      <c r="E241" t="s">
        <v>33</v>
      </c>
      <c r="F241" t="s">
        <v>42</v>
      </c>
      <c r="G241" t="s">
        <v>44</v>
      </c>
      <c r="H241" t="s">
        <v>35</v>
      </c>
      <c r="I241" t="s">
        <v>27</v>
      </c>
      <c r="J241" t="s">
        <v>36</v>
      </c>
      <c r="K241">
        <v>6</v>
      </c>
      <c r="L241" s="2">
        <v>9827</v>
      </c>
      <c r="M241" s="2">
        <f>Table1[[#This Row],[Cost_Price]]*Table1[[#This Row],[Quantity_Sold]]</f>
        <v>58962</v>
      </c>
      <c r="N241" s="2">
        <v>12584</v>
      </c>
      <c r="O241" s="5">
        <v>0</v>
      </c>
      <c r="P241" s="2">
        <v>75504</v>
      </c>
      <c r="Q241" s="2">
        <v>16542</v>
      </c>
      <c r="R241">
        <v>1</v>
      </c>
    </row>
    <row r="242" spans="1:18" x14ac:dyDescent="0.25">
      <c r="A242" t="s">
        <v>715</v>
      </c>
      <c r="B242" s="1">
        <v>45818</v>
      </c>
      <c r="C242" t="s">
        <v>20</v>
      </c>
      <c r="D242" t="s">
        <v>1107</v>
      </c>
      <c r="E242" t="s">
        <v>22</v>
      </c>
      <c r="F242" t="s">
        <v>23</v>
      </c>
      <c r="G242" t="s">
        <v>44</v>
      </c>
      <c r="H242" t="s">
        <v>26</v>
      </c>
      <c r="I242" t="s">
        <v>103</v>
      </c>
      <c r="J242" t="s">
        <v>59</v>
      </c>
      <c r="K242">
        <v>4</v>
      </c>
      <c r="L242" s="2">
        <v>12568</v>
      </c>
      <c r="M242" s="2">
        <f>Table1[[#This Row],[Cost_Price]]*Table1[[#This Row],[Quantity_Sold]]</f>
        <v>50272</v>
      </c>
      <c r="N242" s="2">
        <v>17699</v>
      </c>
      <c r="O242" s="5">
        <v>0.05</v>
      </c>
      <c r="P242" s="2">
        <v>70796</v>
      </c>
      <c r="Q242" s="2">
        <v>20524</v>
      </c>
      <c r="R242">
        <v>2</v>
      </c>
    </row>
    <row r="243" spans="1:18" x14ac:dyDescent="0.25">
      <c r="A243" t="s">
        <v>115</v>
      </c>
      <c r="B243" s="1">
        <v>45800</v>
      </c>
      <c r="C243" t="s">
        <v>82</v>
      </c>
      <c r="D243" t="s">
        <v>83</v>
      </c>
      <c r="E243" t="s">
        <v>51</v>
      </c>
      <c r="F243" t="s">
        <v>73</v>
      </c>
      <c r="G243" t="s">
        <v>44</v>
      </c>
      <c r="H243" t="s">
        <v>45</v>
      </c>
      <c r="I243" t="s">
        <v>27</v>
      </c>
      <c r="J243" t="s">
        <v>28</v>
      </c>
      <c r="K243">
        <v>8</v>
      </c>
      <c r="L243" s="2">
        <v>4862</v>
      </c>
      <c r="M243" s="2">
        <f>Table1[[#This Row],[Cost_Price]]*Table1[[#This Row],[Quantity_Sold]]</f>
        <v>38896</v>
      </c>
      <c r="N243" s="2">
        <v>8091</v>
      </c>
      <c r="O243" s="5">
        <v>0.1</v>
      </c>
      <c r="P243" s="2">
        <v>64728</v>
      </c>
      <c r="Q243" s="2">
        <v>25832</v>
      </c>
      <c r="R243">
        <v>3</v>
      </c>
    </row>
    <row r="244" spans="1:18" x14ac:dyDescent="0.25">
      <c r="A244" t="s">
        <v>1143</v>
      </c>
      <c r="B244" s="1">
        <v>45392</v>
      </c>
      <c r="C244" t="s">
        <v>141</v>
      </c>
      <c r="D244" t="s">
        <v>142</v>
      </c>
      <c r="E244" t="s">
        <v>51</v>
      </c>
      <c r="F244" t="s">
        <v>98</v>
      </c>
      <c r="G244" t="s">
        <v>25</v>
      </c>
      <c r="H244" t="s">
        <v>26</v>
      </c>
      <c r="I244" t="s">
        <v>27</v>
      </c>
      <c r="J244" t="s">
        <v>28</v>
      </c>
      <c r="K244">
        <v>5</v>
      </c>
      <c r="L244" s="2">
        <v>5545</v>
      </c>
      <c r="M244" s="2">
        <f>Table1[[#This Row],[Cost_Price]]*Table1[[#This Row],[Quantity_Sold]]</f>
        <v>27725</v>
      </c>
      <c r="N244" s="2">
        <v>12856</v>
      </c>
      <c r="O244" s="5">
        <v>0</v>
      </c>
      <c r="P244" s="2">
        <v>64280</v>
      </c>
      <c r="Q244" s="2">
        <v>36555</v>
      </c>
      <c r="R244" s="3" t="s">
        <v>1110</v>
      </c>
    </row>
    <row r="245" spans="1:18" x14ac:dyDescent="0.25">
      <c r="A245" t="s">
        <v>700</v>
      </c>
      <c r="B245" s="1">
        <v>45785</v>
      </c>
      <c r="C245" t="s">
        <v>20</v>
      </c>
      <c r="D245" t="s">
        <v>1107</v>
      </c>
      <c r="E245" t="s">
        <v>22</v>
      </c>
      <c r="F245" t="s">
        <v>92</v>
      </c>
      <c r="G245" t="s">
        <v>44</v>
      </c>
      <c r="H245" t="s">
        <v>45</v>
      </c>
      <c r="I245" t="s">
        <v>27</v>
      </c>
      <c r="J245" t="s">
        <v>54</v>
      </c>
      <c r="K245">
        <v>1</v>
      </c>
      <c r="L245" s="2">
        <v>5703</v>
      </c>
      <c r="M245" s="2">
        <f>Table1[[#This Row],[Cost_Price]]*Table1[[#This Row],[Quantity_Sold]]</f>
        <v>5703</v>
      </c>
      <c r="N245" s="2">
        <v>13524</v>
      </c>
      <c r="O245" s="5">
        <v>0.1</v>
      </c>
      <c r="P245" s="2">
        <v>13524</v>
      </c>
      <c r="Q245" s="2">
        <v>7821</v>
      </c>
      <c r="R245" s="3" t="s">
        <v>1110</v>
      </c>
    </row>
    <row r="246" spans="1:18" x14ac:dyDescent="0.25">
      <c r="A246" t="s">
        <v>925</v>
      </c>
      <c r="B246" s="1">
        <v>45622</v>
      </c>
      <c r="C246" t="s">
        <v>77</v>
      </c>
      <c r="D246" t="s">
        <v>78</v>
      </c>
      <c r="E246" t="s">
        <v>64</v>
      </c>
      <c r="F246" t="s">
        <v>73</v>
      </c>
      <c r="G246" t="s">
        <v>44</v>
      </c>
      <c r="H246" t="s">
        <v>35</v>
      </c>
      <c r="I246" t="s">
        <v>58</v>
      </c>
      <c r="J246" t="s">
        <v>54</v>
      </c>
      <c r="K246">
        <v>1</v>
      </c>
      <c r="L246" s="2">
        <v>13357</v>
      </c>
      <c r="M246" s="2">
        <f>Table1[[#This Row],[Cost_Price]]*Table1[[#This Row],[Quantity_Sold]]</f>
        <v>13357</v>
      </c>
      <c r="N246" s="2">
        <v>18448</v>
      </c>
      <c r="O246" s="5">
        <v>0.04</v>
      </c>
      <c r="P246" s="2">
        <v>18448</v>
      </c>
      <c r="Q246" s="2">
        <v>5091</v>
      </c>
      <c r="R246">
        <v>5</v>
      </c>
    </row>
    <row r="247" spans="1:18" x14ac:dyDescent="0.25">
      <c r="A247" t="s">
        <v>1144</v>
      </c>
      <c r="B247" s="1">
        <v>45316</v>
      </c>
      <c r="C247" t="s">
        <v>71</v>
      </c>
      <c r="D247" t="s">
        <v>72</v>
      </c>
      <c r="E247" t="s">
        <v>64</v>
      </c>
      <c r="F247" t="s">
        <v>23</v>
      </c>
      <c r="G247" t="s">
        <v>44</v>
      </c>
      <c r="H247" t="s">
        <v>26</v>
      </c>
      <c r="I247" t="s">
        <v>27</v>
      </c>
      <c r="J247" t="s">
        <v>59</v>
      </c>
      <c r="K247">
        <v>2</v>
      </c>
      <c r="L247" s="2">
        <v>5975</v>
      </c>
      <c r="M247" s="2">
        <f>Table1[[#This Row],[Cost_Price]]*Table1[[#This Row],[Quantity_Sold]]</f>
        <v>11950</v>
      </c>
      <c r="N247" s="2">
        <v>11083</v>
      </c>
      <c r="O247" s="5">
        <v>0.04</v>
      </c>
      <c r="P247" s="2">
        <v>22166</v>
      </c>
      <c r="Q247" s="2">
        <v>10216</v>
      </c>
      <c r="R247">
        <v>1</v>
      </c>
    </row>
    <row r="248" spans="1:18" x14ac:dyDescent="0.25">
      <c r="A248" t="s">
        <v>450</v>
      </c>
      <c r="B248" s="1">
        <v>45802</v>
      </c>
      <c r="C248" t="s">
        <v>71</v>
      </c>
      <c r="D248" t="s">
        <v>72</v>
      </c>
      <c r="E248" t="s">
        <v>64</v>
      </c>
      <c r="F248" t="s">
        <v>1110</v>
      </c>
      <c r="G248" t="s">
        <v>25</v>
      </c>
      <c r="H248" t="s">
        <v>35</v>
      </c>
      <c r="I248" t="s">
        <v>120</v>
      </c>
      <c r="J248" t="s">
        <v>54</v>
      </c>
      <c r="K248">
        <v>7</v>
      </c>
      <c r="L248" s="2">
        <v>11161</v>
      </c>
      <c r="M248" s="2">
        <f>Table1[[#This Row],[Cost_Price]]*Table1[[#This Row],[Quantity_Sold]]</f>
        <v>78127</v>
      </c>
      <c r="N248" s="2">
        <v>15241</v>
      </c>
      <c r="O248" s="5">
        <v>0.02</v>
      </c>
      <c r="P248" s="2">
        <v>106687</v>
      </c>
      <c r="Q248" s="2">
        <v>28560</v>
      </c>
      <c r="R248">
        <v>1</v>
      </c>
    </row>
    <row r="249" spans="1:18" x14ac:dyDescent="0.25">
      <c r="A249" t="s">
        <v>761</v>
      </c>
      <c r="B249" s="1">
        <v>45679</v>
      </c>
      <c r="C249" t="s">
        <v>96</v>
      </c>
      <c r="D249" t="s">
        <v>97</v>
      </c>
      <c r="E249" t="s">
        <v>51</v>
      </c>
      <c r="F249" t="s">
        <v>1110</v>
      </c>
      <c r="G249" t="s">
        <v>25</v>
      </c>
      <c r="H249" t="s">
        <v>35</v>
      </c>
      <c r="I249" t="s">
        <v>103</v>
      </c>
      <c r="J249" t="s">
        <v>54</v>
      </c>
      <c r="K249">
        <v>8</v>
      </c>
      <c r="L249" s="2">
        <v>2791</v>
      </c>
      <c r="M249" s="2">
        <f>Table1[[#This Row],[Cost_Price]]*Table1[[#This Row],[Quantity_Sold]]</f>
        <v>22328</v>
      </c>
      <c r="N249" s="2">
        <v>9596</v>
      </c>
      <c r="O249" s="5">
        <v>0.05</v>
      </c>
      <c r="P249" s="2">
        <v>76768</v>
      </c>
      <c r="Q249" s="2">
        <v>54440</v>
      </c>
      <c r="R249">
        <v>1</v>
      </c>
    </row>
    <row r="250" spans="1:18" x14ac:dyDescent="0.25">
      <c r="A250" t="s">
        <v>265</v>
      </c>
      <c r="B250" s="1">
        <v>45799</v>
      </c>
      <c r="C250" t="s">
        <v>82</v>
      </c>
      <c r="D250" t="s">
        <v>83</v>
      </c>
      <c r="E250" t="s">
        <v>51</v>
      </c>
      <c r="F250" t="s">
        <v>42</v>
      </c>
      <c r="G250" t="s">
        <v>25</v>
      </c>
      <c r="H250" t="s">
        <v>45</v>
      </c>
      <c r="I250" t="s">
        <v>103</v>
      </c>
      <c r="J250" t="s">
        <v>54</v>
      </c>
      <c r="K250">
        <v>3</v>
      </c>
      <c r="L250" s="2">
        <v>13391</v>
      </c>
      <c r="M250" s="2">
        <f>Table1[[#This Row],[Cost_Price]]*Table1[[#This Row],[Quantity_Sold]]</f>
        <v>40173</v>
      </c>
      <c r="N250" s="2">
        <v>20375</v>
      </c>
      <c r="O250" s="5">
        <v>0</v>
      </c>
      <c r="P250" s="2">
        <v>61125</v>
      </c>
      <c r="Q250" s="2">
        <v>20952</v>
      </c>
      <c r="R250">
        <v>5</v>
      </c>
    </row>
    <row r="251" spans="1:18" x14ac:dyDescent="0.25">
      <c r="A251" t="s">
        <v>198</v>
      </c>
      <c r="B251" s="1">
        <v>45611</v>
      </c>
      <c r="C251" t="s">
        <v>49</v>
      </c>
      <c r="D251" t="s">
        <v>83</v>
      </c>
      <c r="E251" t="s">
        <v>51</v>
      </c>
      <c r="F251" t="s">
        <v>23</v>
      </c>
      <c r="G251" t="s">
        <v>44</v>
      </c>
      <c r="H251" t="s">
        <v>45</v>
      </c>
      <c r="I251" t="s">
        <v>58</v>
      </c>
      <c r="J251" t="s">
        <v>54</v>
      </c>
      <c r="K251">
        <v>2</v>
      </c>
      <c r="L251" s="2">
        <v>7471</v>
      </c>
      <c r="M251" s="2">
        <f>Table1[[#This Row],[Cost_Price]]*Table1[[#This Row],[Quantity_Sold]]</f>
        <v>14942</v>
      </c>
      <c r="N251" s="2">
        <v>14137</v>
      </c>
      <c r="O251" s="5">
        <v>0.1</v>
      </c>
      <c r="P251" s="2">
        <v>28274</v>
      </c>
      <c r="Q251" s="2">
        <v>13332</v>
      </c>
      <c r="R251">
        <v>5</v>
      </c>
    </row>
    <row r="252" spans="1:18" x14ac:dyDescent="0.25">
      <c r="A252" t="s">
        <v>1145</v>
      </c>
      <c r="B252" s="1">
        <v>45688</v>
      </c>
      <c r="C252" t="s">
        <v>216</v>
      </c>
      <c r="D252" t="s">
        <v>217</v>
      </c>
      <c r="E252" t="s">
        <v>33</v>
      </c>
      <c r="F252" t="s">
        <v>92</v>
      </c>
      <c r="G252" t="s">
        <v>44</v>
      </c>
      <c r="H252" t="s">
        <v>26</v>
      </c>
      <c r="I252" t="s">
        <v>103</v>
      </c>
      <c r="J252" t="s">
        <v>28</v>
      </c>
      <c r="K252">
        <v>2</v>
      </c>
      <c r="L252" s="2">
        <v>4187</v>
      </c>
      <c r="M252" s="2">
        <f>Table1[[#This Row],[Cost_Price]]*Table1[[#This Row],[Quantity_Sold]]</f>
        <v>8374</v>
      </c>
      <c r="N252" s="2">
        <v>11355</v>
      </c>
      <c r="O252" s="5">
        <v>0.02</v>
      </c>
      <c r="P252" s="2">
        <v>22710</v>
      </c>
      <c r="Q252" s="2">
        <v>14336</v>
      </c>
      <c r="R252">
        <v>1</v>
      </c>
    </row>
    <row r="253" spans="1:18" x14ac:dyDescent="0.25">
      <c r="A253" t="s">
        <v>1146</v>
      </c>
      <c r="B253" s="1">
        <v>45492</v>
      </c>
      <c r="C253" t="s">
        <v>71</v>
      </c>
      <c r="D253" t="s">
        <v>72</v>
      </c>
      <c r="E253" t="s">
        <v>64</v>
      </c>
      <c r="F253" t="s">
        <v>1110</v>
      </c>
      <c r="G253" t="s">
        <v>25</v>
      </c>
      <c r="H253" t="s">
        <v>35</v>
      </c>
      <c r="I253" t="s">
        <v>103</v>
      </c>
      <c r="J253" t="s">
        <v>28</v>
      </c>
      <c r="K253">
        <v>6</v>
      </c>
      <c r="L253" s="2">
        <v>6316</v>
      </c>
      <c r="M253" s="2">
        <f>Table1[[#This Row],[Cost_Price]]*Table1[[#This Row],[Quantity_Sold]]</f>
        <v>37896</v>
      </c>
      <c r="N253" s="2">
        <v>7057</v>
      </c>
      <c r="O253" s="5">
        <v>0.02</v>
      </c>
      <c r="P253" s="2">
        <v>42342</v>
      </c>
      <c r="Q253" s="2">
        <v>4446</v>
      </c>
      <c r="R253">
        <v>2</v>
      </c>
    </row>
    <row r="254" spans="1:18" x14ac:dyDescent="0.25">
      <c r="A254" t="s">
        <v>1147</v>
      </c>
      <c r="B254" s="1">
        <v>45699</v>
      </c>
      <c r="C254" t="s">
        <v>71</v>
      </c>
      <c r="D254" t="s">
        <v>72</v>
      </c>
      <c r="E254" t="s">
        <v>64</v>
      </c>
      <c r="F254" t="s">
        <v>73</v>
      </c>
      <c r="G254" t="s">
        <v>25</v>
      </c>
      <c r="H254" t="s">
        <v>35</v>
      </c>
      <c r="I254" t="s">
        <v>27</v>
      </c>
      <c r="J254" t="s">
        <v>54</v>
      </c>
      <c r="K254">
        <v>5</v>
      </c>
      <c r="L254" s="2">
        <v>8525</v>
      </c>
      <c r="M254" s="2">
        <f>Table1[[#This Row],[Cost_Price]]*Table1[[#This Row],[Quantity_Sold]]</f>
        <v>42625</v>
      </c>
      <c r="N254" s="2">
        <v>10617</v>
      </c>
      <c r="O254" s="5">
        <v>0.1</v>
      </c>
      <c r="P254" s="2">
        <v>53085</v>
      </c>
      <c r="Q254" s="2">
        <v>10460</v>
      </c>
      <c r="R254" s="3" t="s">
        <v>1110</v>
      </c>
    </row>
    <row r="255" spans="1:18" x14ac:dyDescent="0.25">
      <c r="A255" t="s">
        <v>1148</v>
      </c>
      <c r="B255" s="1">
        <v>45561</v>
      </c>
      <c r="C255" t="s">
        <v>241</v>
      </c>
      <c r="D255" t="s">
        <v>1109</v>
      </c>
      <c r="E255" t="s">
        <v>22</v>
      </c>
      <c r="F255" t="s">
        <v>1110</v>
      </c>
      <c r="G255" t="s">
        <v>44</v>
      </c>
      <c r="H255" t="s">
        <v>35</v>
      </c>
      <c r="I255" t="s">
        <v>120</v>
      </c>
      <c r="J255" t="s">
        <v>36</v>
      </c>
      <c r="K255">
        <v>1</v>
      </c>
      <c r="L255" s="2">
        <v>9007</v>
      </c>
      <c r="M255" s="2">
        <f>Table1[[#This Row],[Cost_Price]]*Table1[[#This Row],[Quantity_Sold]]</f>
        <v>9007</v>
      </c>
      <c r="N255" s="2">
        <v>11968</v>
      </c>
      <c r="O255" s="5">
        <v>0.02</v>
      </c>
      <c r="P255" s="2">
        <v>11968</v>
      </c>
      <c r="Q255" s="2">
        <v>2961</v>
      </c>
      <c r="R255" s="3" t="s">
        <v>1110</v>
      </c>
    </row>
    <row r="256" spans="1:18" x14ac:dyDescent="0.25">
      <c r="A256" t="s">
        <v>1149</v>
      </c>
      <c r="B256" s="1">
        <v>45598</v>
      </c>
      <c r="C256" t="s">
        <v>131</v>
      </c>
      <c r="D256" t="s">
        <v>132</v>
      </c>
      <c r="E256" t="s">
        <v>64</v>
      </c>
      <c r="F256" t="s">
        <v>23</v>
      </c>
      <c r="G256" t="s">
        <v>44</v>
      </c>
      <c r="H256" t="s">
        <v>35</v>
      </c>
      <c r="I256" t="s">
        <v>103</v>
      </c>
      <c r="J256" t="s">
        <v>54</v>
      </c>
      <c r="K256">
        <v>8</v>
      </c>
      <c r="L256" s="2">
        <v>11303</v>
      </c>
      <c r="M256" s="2">
        <f>Table1[[#This Row],[Cost_Price]]*Table1[[#This Row],[Quantity_Sold]]</f>
        <v>90424</v>
      </c>
      <c r="N256" s="2">
        <v>16802</v>
      </c>
      <c r="O256" s="5">
        <v>0.02</v>
      </c>
      <c r="P256" s="2">
        <v>134416</v>
      </c>
      <c r="Q256" s="2">
        <v>43992</v>
      </c>
      <c r="R256">
        <v>3</v>
      </c>
    </row>
    <row r="257" spans="1:18" x14ac:dyDescent="0.25">
      <c r="A257" t="s">
        <v>1150</v>
      </c>
      <c r="B257" s="1">
        <v>45687</v>
      </c>
      <c r="C257" t="s">
        <v>20</v>
      </c>
      <c r="D257" t="s">
        <v>1107</v>
      </c>
      <c r="E257" t="s">
        <v>22</v>
      </c>
      <c r="F257" t="s">
        <v>92</v>
      </c>
      <c r="G257" t="s">
        <v>44</v>
      </c>
      <c r="H257" t="s">
        <v>26</v>
      </c>
      <c r="I257" t="s">
        <v>103</v>
      </c>
      <c r="J257" t="s">
        <v>54</v>
      </c>
      <c r="K257">
        <v>4</v>
      </c>
      <c r="L257" s="2">
        <v>6206</v>
      </c>
      <c r="M257" s="2">
        <f>Table1[[#This Row],[Cost_Price]]*Table1[[#This Row],[Quantity_Sold]]</f>
        <v>24824</v>
      </c>
      <c r="N257" s="2">
        <v>10171</v>
      </c>
      <c r="O257" s="5">
        <v>0.02</v>
      </c>
      <c r="P257" s="2">
        <v>40684</v>
      </c>
      <c r="Q257" s="2">
        <v>15860</v>
      </c>
      <c r="R257">
        <v>1</v>
      </c>
    </row>
    <row r="258" spans="1:18" x14ac:dyDescent="0.25">
      <c r="A258" t="s">
        <v>1151</v>
      </c>
      <c r="B258" s="1">
        <v>45327</v>
      </c>
      <c r="C258" t="s">
        <v>106</v>
      </c>
      <c r="D258" t="s">
        <v>107</v>
      </c>
      <c r="E258" t="s">
        <v>41</v>
      </c>
      <c r="F258" t="s">
        <v>73</v>
      </c>
      <c r="G258" t="s">
        <v>44</v>
      </c>
      <c r="H258" t="s">
        <v>26</v>
      </c>
      <c r="I258" t="s">
        <v>103</v>
      </c>
      <c r="J258" t="s">
        <v>28</v>
      </c>
      <c r="K258">
        <v>3</v>
      </c>
      <c r="L258" s="2">
        <v>13090</v>
      </c>
      <c r="M258" s="2">
        <f>Table1[[#This Row],[Cost_Price]]*Table1[[#This Row],[Quantity_Sold]]</f>
        <v>39270</v>
      </c>
      <c r="N258" s="2">
        <v>15434</v>
      </c>
      <c r="O258" s="5">
        <v>0.05</v>
      </c>
      <c r="P258" s="2">
        <v>46302</v>
      </c>
      <c r="Q258" s="2">
        <v>7032</v>
      </c>
      <c r="R258">
        <v>5</v>
      </c>
    </row>
    <row r="259" spans="1:18" x14ac:dyDescent="0.25">
      <c r="A259" t="s">
        <v>1152</v>
      </c>
      <c r="B259" s="1">
        <v>45593</v>
      </c>
      <c r="C259" t="s">
        <v>71</v>
      </c>
      <c r="D259" t="s">
        <v>72</v>
      </c>
      <c r="E259" t="s">
        <v>64</v>
      </c>
      <c r="F259" t="s">
        <v>42</v>
      </c>
      <c r="G259" t="s">
        <v>25</v>
      </c>
      <c r="H259" t="s">
        <v>35</v>
      </c>
      <c r="I259" t="s">
        <v>103</v>
      </c>
      <c r="J259" t="s">
        <v>54</v>
      </c>
      <c r="K259">
        <v>1</v>
      </c>
      <c r="L259" s="2">
        <v>14612</v>
      </c>
      <c r="M259" s="2">
        <f>Table1[[#This Row],[Cost_Price]]*Table1[[#This Row],[Quantity_Sold]]</f>
        <v>14612</v>
      </c>
      <c r="N259" s="2">
        <v>16879</v>
      </c>
      <c r="O259" s="5">
        <v>0.02</v>
      </c>
      <c r="P259" s="2">
        <v>16879</v>
      </c>
      <c r="Q259" s="2">
        <v>2267</v>
      </c>
      <c r="R259">
        <v>2</v>
      </c>
    </row>
    <row r="260" spans="1:18" x14ac:dyDescent="0.25">
      <c r="A260" t="s">
        <v>1153</v>
      </c>
      <c r="B260" s="1">
        <v>45450</v>
      </c>
      <c r="C260" t="s">
        <v>31</v>
      </c>
      <c r="D260" t="s">
        <v>32</v>
      </c>
      <c r="E260" t="s">
        <v>33</v>
      </c>
      <c r="F260" t="s">
        <v>92</v>
      </c>
      <c r="G260" t="s">
        <v>25</v>
      </c>
      <c r="H260" t="s">
        <v>35</v>
      </c>
      <c r="I260" t="s">
        <v>103</v>
      </c>
      <c r="J260" t="s">
        <v>54</v>
      </c>
      <c r="K260">
        <v>8</v>
      </c>
      <c r="L260" s="2">
        <v>9788</v>
      </c>
      <c r="M260" s="2">
        <f>Table1[[#This Row],[Cost_Price]]*Table1[[#This Row],[Quantity_Sold]]</f>
        <v>78304</v>
      </c>
      <c r="N260" s="2">
        <v>15510</v>
      </c>
      <c r="O260" s="5">
        <v>0.05</v>
      </c>
      <c r="P260" s="2">
        <v>124080</v>
      </c>
      <c r="Q260" s="2">
        <v>45776</v>
      </c>
      <c r="R260">
        <v>4</v>
      </c>
    </row>
    <row r="261" spans="1:18" x14ac:dyDescent="0.25">
      <c r="A261" t="s">
        <v>1154</v>
      </c>
      <c r="B261" s="1">
        <v>45756</v>
      </c>
      <c r="C261" t="s">
        <v>106</v>
      </c>
      <c r="D261" t="s">
        <v>107</v>
      </c>
      <c r="E261" t="s">
        <v>41</v>
      </c>
      <c r="F261" t="s">
        <v>92</v>
      </c>
      <c r="G261" t="s">
        <v>44</v>
      </c>
      <c r="H261" t="s">
        <v>35</v>
      </c>
      <c r="I261" t="s">
        <v>27</v>
      </c>
      <c r="J261" t="s">
        <v>54</v>
      </c>
      <c r="K261">
        <v>4</v>
      </c>
      <c r="L261" s="2">
        <v>1007</v>
      </c>
      <c r="M261" s="2">
        <f>Table1[[#This Row],[Cost_Price]]*Table1[[#This Row],[Quantity_Sold]]</f>
        <v>4028</v>
      </c>
      <c r="N261" s="2">
        <v>6074</v>
      </c>
      <c r="O261" s="5">
        <v>0.05</v>
      </c>
      <c r="P261" s="2">
        <v>24296</v>
      </c>
      <c r="Q261" s="2">
        <v>20268</v>
      </c>
      <c r="R261">
        <v>5</v>
      </c>
    </row>
    <row r="262" spans="1:18" x14ac:dyDescent="0.25">
      <c r="A262" t="s">
        <v>1155</v>
      </c>
      <c r="B262" s="1">
        <v>45409</v>
      </c>
      <c r="C262" t="s">
        <v>20</v>
      </c>
      <c r="D262" t="s">
        <v>1107</v>
      </c>
      <c r="E262" t="s">
        <v>22</v>
      </c>
      <c r="F262" t="s">
        <v>1110</v>
      </c>
      <c r="G262" t="s">
        <v>25</v>
      </c>
      <c r="H262" t="s">
        <v>26</v>
      </c>
      <c r="I262" t="s">
        <v>58</v>
      </c>
      <c r="J262" t="s">
        <v>36</v>
      </c>
      <c r="K262">
        <v>2</v>
      </c>
      <c r="L262" s="2">
        <v>14064</v>
      </c>
      <c r="M262" s="2">
        <f>Table1[[#This Row],[Cost_Price]]*Table1[[#This Row],[Quantity_Sold]]</f>
        <v>28128</v>
      </c>
      <c r="N262" s="2">
        <v>15811</v>
      </c>
      <c r="O262" s="5">
        <v>0.04</v>
      </c>
      <c r="P262" s="2">
        <v>31622</v>
      </c>
      <c r="Q262" s="2">
        <v>3494</v>
      </c>
      <c r="R262" s="3" t="s">
        <v>1110</v>
      </c>
    </row>
    <row r="263" spans="1:18" x14ac:dyDescent="0.25">
      <c r="A263" t="s">
        <v>1156</v>
      </c>
      <c r="B263" s="1">
        <v>45332</v>
      </c>
      <c r="C263" t="s">
        <v>82</v>
      </c>
      <c r="D263" t="s">
        <v>83</v>
      </c>
      <c r="E263" t="s">
        <v>51</v>
      </c>
      <c r="F263" t="s">
        <v>23</v>
      </c>
      <c r="G263" t="s">
        <v>44</v>
      </c>
      <c r="H263" t="s">
        <v>35</v>
      </c>
      <c r="I263" t="s">
        <v>27</v>
      </c>
      <c r="J263" t="s">
        <v>59</v>
      </c>
      <c r="K263">
        <v>1</v>
      </c>
      <c r="L263" s="2">
        <v>10613</v>
      </c>
      <c r="M263" s="2">
        <f>Table1[[#This Row],[Cost_Price]]*Table1[[#This Row],[Quantity_Sold]]</f>
        <v>10613</v>
      </c>
      <c r="N263" s="2">
        <v>13650</v>
      </c>
      <c r="O263" s="5">
        <v>0.05</v>
      </c>
      <c r="P263" s="2">
        <v>13650</v>
      </c>
      <c r="Q263" s="2">
        <v>3037</v>
      </c>
      <c r="R263">
        <v>3</v>
      </c>
    </row>
    <row r="264" spans="1:18" x14ac:dyDescent="0.25">
      <c r="A264" t="s">
        <v>1157</v>
      </c>
      <c r="B264" s="1">
        <v>45471</v>
      </c>
      <c r="C264" t="s">
        <v>117</v>
      </c>
      <c r="D264" t="s">
        <v>118</v>
      </c>
      <c r="E264" t="s">
        <v>41</v>
      </c>
      <c r="F264" t="s">
        <v>98</v>
      </c>
      <c r="G264" t="s">
        <v>44</v>
      </c>
      <c r="H264" t="s">
        <v>26</v>
      </c>
      <c r="I264" t="s">
        <v>120</v>
      </c>
      <c r="J264" t="s">
        <v>36</v>
      </c>
      <c r="K264">
        <v>3</v>
      </c>
      <c r="L264" s="2">
        <v>4881</v>
      </c>
      <c r="M264" s="2">
        <f>Table1[[#This Row],[Cost_Price]]*Table1[[#This Row],[Quantity_Sold]]</f>
        <v>14643</v>
      </c>
      <c r="N264" s="2">
        <v>11268</v>
      </c>
      <c r="O264" s="5">
        <v>0</v>
      </c>
      <c r="P264" s="2">
        <v>33804</v>
      </c>
      <c r="Q264" s="2">
        <v>19161</v>
      </c>
      <c r="R264">
        <v>2</v>
      </c>
    </row>
    <row r="265" spans="1:18" x14ac:dyDescent="0.25">
      <c r="A265" t="s">
        <v>1158</v>
      </c>
      <c r="B265" s="1">
        <v>45552</v>
      </c>
      <c r="C265" t="s">
        <v>96</v>
      </c>
      <c r="D265" t="s">
        <v>97</v>
      </c>
      <c r="E265" t="s">
        <v>51</v>
      </c>
      <c r="F265" t="s">
        <v>92</v>
      </c>
      <c r="G265" t="s">
        <v>25</v>
      </c>
      <c r="H265" t="s">
        <v>26</v>
      </c>
      <c r="I265" t="s">
        <v>120</v>
      </c>
      <c r="J265" t="s">
        <v>59</v>
      </c>
      <c r="K265">
        <v>8</v>
      </c>
      <c r="L265" s="2">
        <v>7410</v>
      </c>
      <c r="M265" s="2">
        <f>Table1[[#This Row],[Cost_Price]]*Table1[[#This Row],[Quantity_Sold]]</f>
        <v>59280</v>
      </c>
      <c r="N265" s="2">
        <v>9225</v>
      </c>
      <c r="O265" s="5">
        <v>0.04</v>
      </c>
      <c r="P265" s="2">
        <v>73800</v>
      </c>
      <c r="Q265" s="2">
        <v>14520</v>
      </c>
      <c r="R265">
        <v>4</v>
      </c>
    </row>
    <row r="266" spans="1:18" x14ac:dyDescent="0.25">
      <c r="A266" t="s">
        <v>1159</v>
      </c>
      <c r="B266" s="1">
        <v>45298</v>
      </c>
      <c r="C266" t="s">
        <v>141</v>
      </c>
      <c r="D266" t="s">
        <v>142</v>
      </c>
      <c r="E266" t="s">
        <v>51</v>
      </c>
      <c r="F266" t="s">
        <v>42</v>
      </c>
      <c r="G266" t="s">
        <v>44</v>
      </c>
      <c r="H266" t="s">
        <v>45</v>
      </c>
      <c r="I266" t="s">
        <v>27</v>
      </c>
      <c r="J266" t="s">
        <v>59</v>
      </c>
      <c r="K266">
        <v>8</v>
      </c>
      <c r="L266" s="2">
        <v>2966</v>
      </c>
      <c r="M266" s="2">
        <f>Table1[[#This Row],[Cost_Price]]*Table1[[#This Row],[Quantity_Sold]]</f>
        <v>23728</v>
      </c>
      <c r="N266" s="2">
        <v>7467</v>
      </c>
      <c r="O266" s="5">
        <v>0.05</v>
      </c>
      <c r="P266" s="2">
        <v>59736</v>
      </c>
      <c r="Q266" s="2">
        <v>36008</v>
      </c>
      <c r="R266" s="3" t="s">
        <v>1110</v>
      </c>
    </row>
    <row r="267" spans="1:18" x14ac:dyDescent="0.25">
      <c r="A267" t="s">
        <v>1160</v>
      </c>
      <c r="B267" s="1">
        <v>45535</v>
      </c>
      <c r="C267" t="s">
        <v>141</v>
      </c>
      <c r="D267" t="s">
        <v>142</v>
      </c>
      <c r="E267" t="s">
        <v>51</v>
      </c>
      <c r="F267" t="s">
        <v>1110</v>
      </c>
      <c r="G267" t="s">
        <v>25</v>
      </c>
      <c r="H267" t="s">
        <v>45</v>
      </c>
      <c r="I267" t="s">
        <v>120</v>
      </c>
      <c r="J267" t="s">
        <v>59</v>
      </c>
      <c r="K267">
        <v>8</v>
      </c>
      <c r="L267" s="2">
        <v>11069</v>
      </c>
      <c r="M267" s="2">
        <f>Table1[[#This Row],[Cost_Price]]*Table1[[#This Row],[Quantity_Sold]]</f>
        <v>88552</v>
      </c>
      <c r="N267" s="2">
        <v>17339</v>
      </c>
      <c r="O267" s="5">
        <v>0.1</v>
      </c>
      <c r="P267" s="2">
        <v>138712</v>
      </c>
      <c r="Q267" s="2">
        <v>50160</v>
      </c>
      <c r="R267">
        <v>3</v>
      </c>
    </row>
    <row r="268" spans="1:18" x14ac:dyDescent="0.25">
      <c r="A268" t="s">
        <v>1161</v>
      </c>
      <c r="B268" s="1">
        <v>45399</v>
      </c>
      <c r="C268" t="s">
        <v>278</v>
      </c>
      <c r="D268" t="s">
        <v>279</v>
      </c>
      <c r="E268" t="s">
        <v>64</v>
      </c>
      <c r="F268" t="s">
        <v>73</v>
      </c>
      <c r="G268" t="s">
        <v>44</v>
      </c>
      <c r="H268" t="s">
        <v>45</v>
      </c>
      <c r="I268" t="s">
        <v>103</v>
      </c>
      <c r="J268" t="s">
        <v>54</v>
      </c>
      <c r="K268">
        <v>5</v>
      </c>
      <c r="L268" s="2">
        <v>12257</v>
      </c>
      <c r="M268" s="2">
        <f>Table1[[#This Row],[Cost_Price]]*Table1[[#This Row],[Quantity_Sold]]</f>
        <v>61285</v>
      </c>
      <c r="N268" s="2">
        <v>15139</v>
      </c>
      <c r="O268" s="5">
        <v>0.05</v>
      </c>
      <c r="P268" s="2">
        <v>75695</v>
      </c>
      <c r="Q268" s="2">
        <v>14410</v>
      </c>
      <c r="R268">
        <v>5</v>
      </c>
    </row>
    <row r="269" spans="1:18" x14ac:dyDescent="0.25">
      <c r="A269" t="s">
        <v>1162</v>
      </c>
      <c r="B269" s="1">
        <v>45599</v>
      </c>
      <c r="C269" t="s">
        <v>20</v>
      </c>
      <c r="D269" t="s">
        <v>1107</v>
      </c>
      <c r="E269" t="s">
        <v>22</v>
      </c>
      <c r="F269" t="s">
        <v>1110</v>
      </c>
      <c r="G269" t="s">
        <v>44</v>
      </c>
      <c r="H269" t="s">
        <v>35</v>
      </c>
      <c r="I269" t="s">
        <v>103</v>
      </c>
      <c r="J269" t="s">
        <v>59</v>
      </c>
      <c r="K269">
        <v>8</v>
      </c>
      <c r="L269" s="2">
        <v>2914</v>
      </c>
      <c r="M269" s="2">
        <f>Table1[[#This Row],[Cost_Price]]*Table1[[#This Row],[Quantity_Sold]]</f>
        <v>23312</v>
      </c>
      <c r="N269" s="2">
        <v>8386</v>
      </c>
      <c r="O269" s="5">
        <v>0.1</v>
      </c>
      <c r="P269" s="2">
        <v>67088</v>
      </c>
      <c r="Q269" s="2">
        <v>43776</v>
      </c>
      <c r="R269">
        <v>5</v>
      </c>
    </row>
    <row r="270" spans="1:18" x14ac:dyDescent="0.25">
      <c r="A270" t="s">
        <v>1163</v>
      </c>
      <c r="B270" s="1">
        <v>45543</v>
      </c>
      <c r="C270" t="s">
        <v>278</v>
      </c>
      <c r="D270" t="s">
        <v>279</v>
      </c>
      <c r="E270" t="s">
        <v>64</v>
      </c>
      <c r="F270" t="s">
        <v>42</v>
      </c>
      <c r="G270" t="s">
        <v>25</v>
      </c>
      <c r="H270" t="s">
        <v>45</v>
      </c>
      <c r="I270" t="s">
        <v>103</v>
      </c>
      <c r="J270" t="s">
        <v>36</v>
      </c>
      <c r="K270">
        <v>4</v>
      </c>
      <c r="L270" s="2">
        <v>5433</v>
      </c>
      <c r="M270" s="2">
        <f>Table1[[#This Row],[Cost_Price]]*Table1[[#This Row],[Quantity_Sold]]</f>
        <v>21732</v>
      </c>
      <c r="N270" s="2">
        <v>13297</v>
      </c>
      <c r="O270" s="5">
        <v>0.02</v>
      </c>
      <c r="P270" s="2">
        <v>53188</v>
      </c>
      <c r="Q270" s="2">
        <v>31456</v>
      </c>
      <c r="R270" s="3" t="s">
        <v>1110</v>
      </c>
    </row>
    <row r="271" spans="1:18" x14ac:dyDescent="0.25">
      <c r="A271" t="s">
        <v>1164</v>
      </c>
      <c r="B271" s="1">
        <v>45485</v>
      </c>
      <c r="C271" t="s">
        <v>141</v>
      </c>
      <c r="D271" t="s">
        <v>142</v>
      </c>
      <c r="E271" t="s">
        <v>51</v>
      </c>
      <c r="F271" t="s">
        <v>73</v>
      </c>
      <c r="G271" t="s">
        <v>44</v>
      </c>
      <c r="H271" t="s">
        <v>45</v>
      </c>
      <c r="I271" t="s">
        <v>27</v>
      </c>
      <c r="J271" t="s">
        <v>59</v>
      </c>
      <c r="K271">
        <v>7</v>
      </c>
      <c r="L271" s="2">
        <v>4088</v>
      </c>
      <c r="M271" s="2">
        <f>Table1[[#This Row],[Cost_Price]]*Table1[[#This Row],[Quantity_Sold]]</f>
        <v>28616</v>
      </c>
      <c r="N271" s="2">
        <v>10505</v>
      </c>
      <c r="O271" s="5">
        <v>0.05</v>
      </c>
      <c r="P271" s="2">
        <v>73535</v>
      </c>
      <c r="Q271" s="2">
        <v>44919</v>
      </c>
      <c r="R271">
        <v>1</v>
      </c>
    </row>
    <row r="272" spans="1:18" x14ac:dyDescent="0.25">
      <c r="A272" t="s">
        <v>1165</v>
      </c>
      <c r="B272" s="1">
        <v>45706</v>
      </c>
      <c r="C272" t="s">
        <v>87</v>
      </c>
      <c r="D272" t="s">
        <v>88</v>
      </c>
      <c r="E272" t="s">
        <v>33</v>
      </c>
      <c r="F272" t="s">
        <v>92</v>
      </c>
      <c r="G272" t="s">
        <v>44</v>
      </c>
      <c r="H272" t="s">
        <v>35</v>
      </c>
      <c r="I272" t="s">
        <v>103</v>
      </c>
      <c r="J272" t="s">
        <v>54</v>
      </c>
      <c r="K272">
        <v>5</v>
      </c>
      <c r="L272" s="2">
        <v>14562</v>
      </c>
      <c r="M272" s="2">
        <f>Table1[[#This Row],[Cost_Price]]*Table1[[#This Row],[Quantity_Sold]]</f>
        <v>72810</v>
      </c>
      <c r="N272" s="2">
        <v>15078</v>
      </c>
      <c r="O272" s="5">
        <v>0.1</v>
      </c>
      <c r="P272" s="2">
        <v>75390</v>
      </c>
      <c r="Q272" s="2">
        <v>2580</v>
      </c>
      <c r="R272">
        <v>3</v>
      </c>
    </row>
    <row r="273" spans="1:18" x14ac:dyDescent="0.25">
      <c r="A273" t="s">
        <v>1166</v>
      </c>
      <c r="B273" s="1">
        <v>45416</v>
      </c>
      <c r="C273" t="s">
        <v>278</v>
      </c>
      <c r="D273" t="s">
        <v>279</v>
      </c>
      <c r="E273" t="s">
        <v>64</v>
      </c>
      <c r="F273" t="s">
        <v>23</v>
      </c>
      <c r="G273" t="s">
        <v>25</v>
      </c>
      <c r="H273" t="s">
        <v>26</v>
      </c>
      <c r="I273" t="s">
        <v>103</v>
      </c>
      <c r="J273" t="s">
        <v>59</v>
      </c>
      <c r="K273">
        <v>8</v>
      </c>
      <c r="L273" s="2">
        <v>2074</v>
      </c>
      <c r="M273" s="2">
        <f>Table1[[#This Row],[Cost_Price]]*Table1[[#This Row],[Quantity_Sold]]</f>
        <v>16592</v>
      </c>
      <c r="N273" s="2">
        <v>6141</v>
      </c>
      <c r="O273" s="5">
        <v>0</v>
      </c>
      <c r="P273" s="2">
        <v>49128</v>
      </c>
      <c r="Q273" s="2">
        <v>32536</v>
      </c>
      <c r="R273">
        <v>2</v>
      </c>
    </row>
    <row r="274" spans="1:18" x14ac:dyDescent="0.25">
      <c r="A274" t="s">
        <v>1167</v>
      </c>
      <c r="B274" s="1">
        <v>45436</v>
      </c>
      <c r="C274" t="s">
        <v>82</v>
      </c>
      <c r="D274" t="s">
        <v>83</v>
      </c>
      <c r="E274" t="s">
        <v>51</v>
      </c>
      <c r="F274" t="s">
        <v>92</v>
      </c>
      <c r="G274" t="s">
        <v>25</v>
      </c>
      <c r="H274" t="s">
        <v>45</v>
      </c>
      <c r="I274" t="s">
        <v>103</v>
      </c>
      <c r="J274" t="s">
        <v>36</v>
      </c>
      <c r="K274">
        <v>6</v>
      </c>
      <c r="L274" s="2">
        <v>10132</v>
      </c>
      <c r="M274" s="2">
        <f>Table1[[#This Row],[Cost_Price]]*Table1[[#This Row],[Quantity_Sold]]</f>
        <v>60792</v>
      </c>
      <c r="N274" s="2">
        <v>12881</v>
      </c>
      <c r="O274" s="5">
        <v>0</v>
      </c>
      <c r="P274" s="2">
        <v>77286</v>
      </c>
      <c r="Q274" s="2">
        <v>16494</v>
      </c>
      <c r="R274" s="3" t="s">
        <v>1110</v>
      </c>
    </row>
    <row r="275" spans="1:18" x14ac:dyDescent="0.25">
      <c r="A275" t="s">
        <v>1168</v>
      </c>
      <c r="B275" s="1">
        <v>45479</v>
      </c>
      <c r="C275" t="s">
        <v>82</v>
      </c>
      <c r="D275" t="s">
        <v>83</v>
      </c>
      <c r="E275" t="s">
        <v>51</v>
      </c>
      <c r="F275" t="s">
        <v>42</v>
      </c>
      <c r="G275" t="s">
        <v>25</v>
      </c>
      <c r="H275" t="s">
        <v>26</v>
      </c>
      <c r="I275" t="s">
        <v>27</v>
      </c>
      <c r="J275" t="s">
        <v>59</v>
      </c>
      <c r="K275">
        <v>1</v>
      </c>
      <c r="L275" s="2">
        <v>9760</v>
      </c>
      <c r="M275" s="2">
        <f>Table1[[#This Row],[Cost_Price]]*Table1[[#This Row],[Quantity_Sold]]</f>
        <v>9760</v>
      </c>
      <c r="N275" s="2">
        <v>10297</v>
      </c>
      <c r="O275" s="5">
        <v>0</v>
      </c>
      <c r="P275" s="2">
        <v>10297</v>
      </c>
      <c r="Q275" s="2">
        <v>537</v>
      </c>
      <c r="R275">
        <v>4</v>
      </c>
    </row>
    <row r="276" spans="1:18" x14ac:dyDescent="0.25">
      <c r="A276" t="s">
        <v>1169</v>
      </c>
      <c r="B276" s="1">
        <v>45464</v>
      </c>
      <c r="C276" t="s">
        <v>31</v>
      </c>
      <c r="D276" t="s">
        <v>32</v>
      </c>
      <c r="E276" t="s">
        <v>33</v>
      </c>
      <c r="F276" t="s">
        <v>1110</v>
      </c>
      <c r="G276" t="s">
        <v>44</v>
      </c>
      <c r="H276" t="s">
        <v>35</v>
      </c>
      <c r="I276" t="s">
        <v>58</v>
      </c>
      <c r="J276" t="s">
        <v>59</v>
      </c>
      <c r="K276">
        <v>6</v>
      </c>
      <c r="L276" s="2">
        <v>6766</v>
      </c>
      <c r="M276" s="2">
        <f>Table1[[#This Row],[Cost_Price]]*Table1[[#This Row],[Quantity_Sold]]</f>
        <v>40596</v>
      </c>
      <c r="N276" s="2">
        <v>8755</v>
      </c>
      <c r="O276" s="5">
        <v>0</v>
      </c>
      <c r="P276" s="2">
        <v>52530</v>
      </c>
      <c r="Q276" s="2">
        <v>11934</v>
      </c>
      <c r="R276">
        <v>5</v>
      </c>
    </row>
    <row r="277" spans="1:18" x14ac:dyDescent="0.25">
      <c r="A277" t="s">
        <v>1170</v>
      </c>
      <c r="B277" s="1">
        <v>45796</v>
      </c>
      <c r="C277" t="s">
        <v>49</v>
      </c>
      <c r="D277" t="s">
        <v>83</v>
      </c>
      <c r="E277" t="s">
        <v>51</v>
      </c>
      <c r="F277" t="s">
        <v>23</v>
      </c>
      <c r="G277" t="s">
        <v>44</v>
      </c>
      <c r="H277" t="s">
        <v>26</v>
      </c>
      <c r="I277" t="s">
        <v>120</v>
      </c>
      <c r="J277" t="s">
        <v>28</v>
      </c>
      <c r="K277">
        <v>2</v>
      </c>
      <c r="L277" s="2">
        <v>14963</v>
      </c>
      <c r="M277" s="2">
        <f>Table1[[#This Row],[Cost_Price]]*Table1[[#This Row],[Quantity_Sold]]</f>
        <v>29926</v>
      </c>
      <c r="N277" s="2">
        <v>21305</v>
      </c>
      <c r="O277" s="5">
        <v>0.1</v>
      </c>
      <c r="P277" s="2">
        <v>42610</v>
      </c>
      <c r="Q277" s="2">
        <v>12684</v>
      </c>
      <c r="R277">
        <v>4</v>
      </c>
    </row>
    <row r="278" spans="1:18" x14ac:dyDescent="0.25">
      <c r="A278" t="s">
        <v>1171</v>
      </c>
      <c r="B278" s="1">
        <v>45684</v>
      </c>
      <c r="C278" t="s">
        <v>31</v>
      </c>
      <c r="D278" t="s">
        <v>32</v>
      </c>
      <c r="E278" t="s">
        <v>33</v>
      </c>
      <c r="F278" t="s">
        <v>1110</v>
      </c>
      <c r="G278" t="s">
        <v>44</v>
      </c>
      <c r="H278" t="s">
        <v>26</v>
      </c>
      <c r="I278" t="s">
        <v>103</v>
      </c>
      <c r="J278" t="s">
        <v>59</v>
      </c>
      <c r="K278">
        <v>4</v>
      </c>
      <c r="L278" s="2">
        <v>1719</v>
      </c>
      <c r="M278" s="2">
        <f>Table1[[#This Row],[Cost_Price]]*Table1[[#This Row],[Quantity_Sold]]</f>
        <v>6876</v>
      </c>
      <c r="N278" s="2">
        <v>3665</v>
      </c>
      <c r="O278" s="5">
        <v>0</v>
      </c>
      <c r="P278" s="2">
        <v>14660</v>
      </c>
      <c r="Q278" s="2">
        <v>7784</v>
      </c>
      <c r="R278">
        <v>4</v>
      </c>
    </row>
    <row r="279" spans="1:18" x14ac:dyDescent="0.25">
      <c r="A279" t="s">
        <v>1172</v>
      </c>
      <c r="B279" s="1">
        <v>45786</v>
      </c>
      <c r="C279" t="s">
        <v>31</v>
      </c>
      <c r="D279" t="s">
        <v>32</v>
      </c>
      <c r="E279" t="s">
        <v>33</v>
      </c>
      <c r="F279" t="s">
        <v>1110</v>
      </c>
      <c r="G279" t="s">
        <v>44</v>
      </c>
      <c r="H279" t="s">
        <v>26</v>
      </c>
      <c r="I279" t="s">
        <v>103</v>
      </c>
      <c r="J279" t="s">
        <v>54</v>
      </c>
      <c r="K279">
        <v>4</v>
      </c>
      <c r="L279" s="2">
        <v>1117</v>
      </c>
      <c r="M279" s="2">
        <f>Table1[[#This Row],[Cost_Price]]*Table1[[#This Row],[Quantity_Sold]]</f>
        <v>4468</v>
      </c>
      <c r="N279" s="2">
        <v>4655</v>
      </c>
      <c r="O279" s="5">
        <v>0.05</v>
      </c>
      <c r="P279" s="2">
        <v>18620</v>
      </c>
      <c r="Q279" s="2">
        <v>14152</v>
      </c>
      <c r="R279" s="3" t="s">
        <v>1110</v>
      </c>
    </row>
    <row r="280" spans="1:18" x14ac:dyDescent="0.25">
      <c r="A280" t="s">
        <v>1173</v>
      </c>
      <c r="B280" s="1">
        <v>45357</v>
      </c>
      <c r="C280" t="s">
        <v>141</v>
      </c>
      <c r="D280" t="s">
        <v>142</v>
      </c>
      <c r="E280" t="s">
        <v>51</v>
      </c>
      <c r="F280" t="s">
        <v>1110</v>
      </c>
      <c r="G280" t="s">
        <v>25</v>
      </c>
      <c r="H280" t="s">
        <v>26</v>
      </c>
      <c r="I280" t="s">
        <v>58</v>
      </c>
      <c r="J280" t="s">
        <v>54</v>
      </c>
      <c r="K280">
        <v>5</v>
      </c>
      <c r="L280" s="2">
        <v>11431</v>
      </c>
      <c r="M280" s="2">
        <f>Table1[[#This Row],[Cost_Price]]*Table1[[#This Row],[Quantity_Sold]]</f>
        <v>57155</v>
      </c>
      <c r="N280" s="2">
        <v>14392</v>
      </c>
      <c r="O280" s="5">
        <v>0.05</v>
      </c>
      <c r="P280" s="2">
        <v>71960</v>
      </c>
      <c r="Q280" s="2">
        <v>14805</v>
      </c>
      <c r="R280">
        <v>4</v>
      </c>
    </row>
    <row r="281" spans="1:18" x14ac:dyDescent="0.25">
      <c r="A281" t="s">
        <v>1174</v>
      </c>
      <c r="B281" s="1">
        <v>45802</v>
      </c>
      <c r="C281" t="s">
        <v>149</v>
      </c>
      <c r="D281" t="s">
        <v>150</v>
      </c>
      <c r="E281" t="s">
        <v>51</v>
      </c>
      <c r="F281" t="s">
        <v>73</v>
      </c>
      <c r="G281" t="s">
        <v>44</v>
      </c>
      <c r="H281" t="s">
        <v>26</v>
      </c>
      <c r="I281" t="s">
        <v>103</v>
      </c>
      <c r="J281" t="s">
        <v>54</v>
      </c>
      <c r="K281">
        <v>5</v>
      </c>
      <c r="L281" s="2">
        <v>7893</v>
      </c>
      <c r="M281" s="2">
        <f>Table1[[#This Row],[Cost_Price]]*Table1[[#This Row],[Quantity_Sold]]</f>
        <v>39465</v>
      </c>
      <c r="N281" s="2">
        <v>9416</v>
      </c>
      <c r="O281" s="5">
        <v>0.1</v>
      </c>
      <c r="P281" s="2">
        <v>47080</v>
      </c>
      <c r="Q281" s="2">
        <v>7615</v>
      </c>
      <c r="R281" s="3" t="s">
        <v>1110</v>
      </c>
    </row>
    <row r="282" spans="1:18" x14ac:dyDescent="0.25">
      <c r="A282" t="s">
        <v>1175</v>
      </c>
      <c r="B282" s="1">
        <v>45688</v>
      </c>
      <c r="C282" t="s">
        <v>62</v>
      </c>
      <c r="D282" t="s">
        <v>63</v>
      </c>
      <c r="E282" t="s">
        <v>64</v>
      </c>
      <c r="F282" t="s">
        <v>98</v>
      </c>
      <c r="G282" t="s">
        <v>44</v>
      </c>
      <c r="H282" t="s">
        <v>45</v>
      </c>
      <c r="I282" t="s">
        <v>27</v>
      </c>
      <c r="J282" t="s">
        <v>54</v>
      </c>
      <c r="K282">
        <v>6</v>
      </c>
      <c r="L282" s="2">
        <v>14896</v>
      </c>
      <c r="M282" s="2">
        <f>Table1[[#This Row],[Cost_Price]]*Table1[[#This Row],[Quantity_Sold]]</f>
        <v>89376</v>
      </c>
      <c r="N282" s="2">
        <v>18065</v>
      </c>
      <c r="O282" s="5">
        <v>0</v>
      </c>
      <c r="P282" s="2">
        <v>108390</v>
      </c>
      <c r="Q282" s="2">
        <v>19014</v>
      </c>
      <c r="R282">
        <v>5</v>
      </c>
    </row>
    <row r="283" spans="1:18" x14ac:dyDescent="0.25">
      <c r="A283" t="s">
        <v>1176</v>
      </c>
      <c r="B283" s="1">
        <v>45620</v>
      </c>
      <c r="C283" t="s">
        <v>241</v>
      </c>
      <c r="D283" t="s">
        <v>1109</v>
      </c>
      <c r="E283" t="s">
        <v>22</v>
      </c>
      <c r="F283" t="s">
        <v>73</v>
      </c>
      <c r="G283" t="s">
        <v>25</v>
      </c>
      <c r="H283" t="s">
        <v>45</v>
      </c>
      <c r="I283" t="s">
        <v>103</v>
      </c>
      <c r="J283" t="s">
        <v>59</v>
      </c>
      <c r="K283">
        <v>1</v>
      </c>
      <c r="L283" s="2">
        <v>10531</v>
      </c>
      <c r="M283" s="2">
        <f>Table1[[#This Row],[Cost_Price]]*Table1[[#This Row],[Quantity_Sold]]</f>
        <v>10531</v>
      </c>
      <c r="N283" s="2">
        <v>18341</v>
      </c>
      <c r="O283" s="5">
        <v>0</v>
      </c>
      <c r="P283" s="2">
        <v>18341</v>
      </c>
      <c r="Q283" s="2">
        <v>7810</v>
      </c>
      <c r="R283">
        <v>4</v>
      </c>
    </row>
    <row r="284" spans="1:18" x14ac:dyDescent="0.25">
      <c r="A284" t="s">
        <v>1177</v>
      </c>
      <c r="B284" s="1">
        <v>45619</v>
      </c>
      <c r="C284" t="s">
        <v>39</v>
      </c>
      <c r="D284" t="s">
        <v>1108</v>
      </c>
      <c r="E284" t="s">
        <v>41</v>
      </c>
      <c r="F284" t="s">
        <v>92</v>
      </c>
      <c r="G284" t="s">
        <v>44</v>
      </c>
      <c r="H284" t="s">
        <v>35</v>
      </c>
      <c r="I284" t="s">
        <v>27</v>
      </c>
      <c r="J284" t="s">
        <v>54</v>
      </c>
      <c r="K284">
        <v>2</v>
      </c>
      <c r="L284" s="2">
        <v>10394</v>
      </c>
      <c r="M284" s="2">
        <f>Table1[[#This Row],[Cost_Price]]*Table1[[#This Row],[Quantity_Sold]]</f>
        <v>20788</v>
      </c>
      <c r="N284" s="2">
        <v>15286</v>
      </c>
      <c r="O284" s="5">
        <v>0.05</v>
      </c>
      <c r="P284" s="2">
        <v>30572</v>
      </c>
      <c r="Q284" s="2">
        <v>9784</v>
      </c>
      <c r="R284" s="3" t="s">
        <v>1110</v>
      </c>
    </row>
    <row r="285" spans="1:18" x14ac:dyDescent="0.25">
      <c r="A285" t="s">
        <v>1178</v>
      </c>
      <c r="B285" s="1">
        <v>45646</v>
      </c>
      <c r="C285" t="s">
        <v>31</v>
      </c>
      <c r="D285" t="s">
        <v>32</v>
      </c>
      <c r="E285" t="s">
        <v>33</v>
      </c>
      <c r="F285" t="s">
        <v>98</v>
      </c>
      <c r="G285" t="s">
        <v>44</v>
      </c>
      <c r="H285" t="s">
        <v>26</v>
      </c>
      <c r="I285" t="s">
        <v>103</v>
      </c>
      <c r="J285" t="s">
        <v>59</v>
      </c>
      <c r="K285">
        <v>2</v>
      </c>
      <c r="L285" s="2">
        <v>9631</v>
      </c>
      <c r="M285" s="2">
        <f>Table1[[#This Row],[Cost_Price]]*Table1[[#This Row],[Quantity_Sold]]</f>
        <v>19262</v>
      </c>
      <c r="N285" s="2">
        <v>17433</v>
      </c>
      <c r="O285" s="5">
        <v>0.04</v>
      </c>
      <c r="P285" s="2">
        <v>34866</v>
      </c>
      <c r="Q285" s="2">
        <v>15604</v>
      </c>
      <c r="R285">
        <v>5</v>
      </c>
    </row>
    <row r="286" spans="1:18" x14ac:dyDescent="0.25">
      <c r="A286" t="s">
        <v>1179</v>
      </c>
      <c r="B286" s="1">
        <v>45424</v>
      </c>
      <c r="C286" t="s">
        <v>216</v>
      </c>
      <c r="D286" t="s">
        <v>217</v>
      </c>
      <c r="E286" t="s">
        <v>33</v>
      </c>
      <c r="F286" t="s">
        <v>98</v>
      </c>
      <c r="G286" t="s">
        <v>44</v>
      </c>
      <c r="H286" t="s">
        <v>35</v>
      </c>
      <c r="I286" t="s">
        <v>103</v>
      </c>
      <c r="J286" t="s">
        <v>28</v>
      </c>
      <c r="K286">
        <v>1</v>
      </c>
      <c r="L286" s="2">
        <v>11453</v>
      </c>
      <c r="M286" s="2">
        <f>Table1[[#This Row],[Cost_Price]]*Table1[[#This Row],[Quantity_Sold]]</f>
        <v>11453</v>
      </c>
      <c r="N286" s="2">
        <v>17862</v>
      </c>
      <c r="O286" s="5">
        <v>0</v>
      </c>
      <c r="P286" s="2">
        <v>17862</v>
      </c>
      <c r="Q286" s="2">
        <v>6409</v>
      </c>
      <c r="R286">
        <v>5</v>
      </c>
    </row>
    <row r="287" spans="1:18" x14ac:dyDescent="0.25">
      <c r="A287" t="s">
        <v>1180</v>
      </c>
      <c r="B287" s="1">
        <v>45487</v>
      </c>
      <c r="C287" t="s">
        <v>131</v>
      </c>
      <c r="D287" t="s">
        <v>132</v>
      </c>
      <c r="E287" t="s">
        <v>64</v>
      </c>
      <c r="F287" t="s">
        <v>42</v>
      </c>
      <c r="G287" t="s">
        <v>44</v>
      </c>
      <c r="H287" t="s">
        <v>45</v>
      </c>
      <c r="I287" t="s">
        <v>120</v>
      </c>
      <c r="J287" t="s">
        <v>59</v>
      </c>
      <c r="K287">
        <v>4</v>
      </c>
      <c r="L287" s="2">
        <v>13360</v>
      </c>
      <c r="M287" s="2">
        <f>Table1[[#This Row],[Cost_Price]]*Table1[[#This Row],[Quantity_Sold]]</f>
        <v>53440</v>
      </c>
      <c r="N287" s="2">
        <v>16900</v>
      </c>
      <c r="O287" s="5">
        <v>0.1</v>
      </c>
      <c r="P287" s="2">
        <v>67600</v>
      </c>
      <c r="Q287" s="2">
        <v>14160</v>
      </c>
      <c r="R287">
        <v>5</v>
      </c>
    </row>
    <row r="288" spans="1:18" x14ac:dyDescent="0.25">
      <c r="A288" t="s">
        <v>1181</v>
      </c>
      <c r="B288" s="1">
        <v>45506</v>
      </c>
      <c r="C288" t="s">
        <v>278</v>
      </c>
      <c r="D288" t="s">
        <v>279</v>
      </c>
      <c r="E288" t="s">
        <v>64</v>
      </c>
      <c r="F288" t="s">
        <v>98</v>
      </c>
      <c r="G288" t="s">
        <v>25</v>
      </c>
      <c r="H288" t="s">
        <v>26</v>
      </c>
      <c r="I288" t="s">
        <v>103</v>
      </c>
      <c r="J288" t="s">
        <v>54</v>
      </c>
      <c r="K288">
        <v>1</v>
      </c>
      <c r="L288" s="2">
        <v>7067</v>
      </c>
      <c r="M288" s="2">
        <f>Table1[[#This Row],[Cost_Price]]*Table1[[#This Row],[Quantity_Sold]]</f>
        <v>7067</v>
      </c>
      <c r="N288" s="2">
        <v>11165</v>
      </c>
      <c r="O288" s="5">
        <v>0.02</v>
      </c>
      <c r="P288" s="2">
        <v>11165</v>
      </c>
      <c r="Q288" s="2">
        <v>4098</v>
      </c>
      <c r="R288">
        <v>2</v>
      </c>
    </row>
    <row r="289" spans="1:18" x14ac:dyDescent="0.25">
      <c r="A289" t="s">
        <v>1182</v>
      </c>
      <c r="B289" s="1">
        <v>45604</v>
      </c>
      <c r="C289" t="s">
        <v>77</v>
      </c>
      <c r="D289" t="s">
        <v>78</v>
      </c>
      <c r="E289" t="s">
        <v>64</v>
      </c>
      <c r="F289" t="s">
        <v>73</v>
      </c>
      <c r="G289" t="s">
        <v>44</v>
      </c>
      <c r="H289" t="s">
        <v>26</v>
      </c>
      <c r="I289" t="s">
        <v>103</v>
      </c>
      <c r="J289" t="s">
        <v>59</v>
      </c>
      <c r="K289">
        <v>8</v>
      </c>
      <c r="L289" s="2">
        <v>5492</v>
      </c>
      <c r="M289" s="2">
        <f>Table1[[#This Row],[Cost_Price]]*Table1[[#This Row],[Quantity_Sold]]</f>
        <v>43936</v>
      </c>
      <c r="N289" s="2">
        <v>13001</v>
      </c>
      <c r="O289" s="5">
        <v>0.05</v>
      </c>
      <c r="P289" s="2">
        <v>104008</v>
      </c>
      <c r="Q289" s="2">
        <v>60072</v>
      </c>
      <c r="R289">
        <v>1</v>
      </c>
    </row>
    <row r="290" spans="1:18" x14ac:dyDescent="0.25">
      <c r="A290" t="s">
        <v>1183</v>
      </c>
      <c r="B290" s="1">
        <v>45794</v>
      </c>
      <c r="C290" t="s">
        <v>71</v>
      </c>
      <c r="D290" t="s">
        <v>72</v>
      </c>
      <c r="E290" t="s">
        <v>64</v>
      </c>
      <c r="F290" t="s">
        <v>92</v>
      </c>
      <c r="G290" t="s">
        <v>25</v>
      </c>
      <c r="H290" t="s">
        <v>26</v>
      </c>
      <c r="I290" t="s">
        <v>27</v>
      </c>
      <c r="J290" t="s">
        <v>54</v>
      </c>
      <c r="K290">
        <v>6</v>
      </c>
      <c r="L290" s="2">
        <v>5203</v>
      </c>
      <c r="M290" s="2">
        <f>Table1[[#This Row],[Cost_Price]]*Table1[[#This Row],[Quantity_Sold]]</f>
        <v>31218</v>
      </c>
      <c r="N290" s="2">
        <v>6461</v>
      </c>
      <c r="O290" s="5">
        <v>0.05</v>
      </c>
      <c r="P290" s="2">
        <v>38766</v>
      </c>
      <c r="Q290" s="2">
        <v>7548</v>
      </c>
      <c r="R290">
        <v>3</v>
      </c>
    </row>
    <row r="291" spans="1:18" x14ac:dyDescent="0.25">
      <c r="A291" t="s">
        <v>1184</v>
      </c>
      <c r="B291" s="1">
        <v>45400</v>
      </c>
      <c r="C291" t="s">
        <v>49</v>
      </c>
      <c r="D291" t="s">
        <v>83</v>
      </c>
      <c r="E291" t="s">
        <v>51</v>
      </c>
      <c r="F291" t="s">
        <v>98</v>
      </c>
      <c r="G291" t="s">
        <v>25</v>
      </c>
      <c r="H291" t="s">
        <v>45</v>
      </c>
      <c r="I291" t="s">
        <v>27</v>
      </c>
      <c r="J291" t="s">
        <v>36</v>
      </c>
      <c r="K291">
        <v>5</v>
      </c>
      <c r="L291" s="2">
        <v>4314</v>
      </c>
      <c r="M291" s="2">
        <f>Table1[[#This Row],[Cost_Price]]*Table1[[#This Row],[Quantity_Sold]]</f>
        <v>21570</v>
      </c>
      <c r="N291" s="2">
        <v>7125</v>
      </c>
      <c r="O291" s="5">
        <v>0</v>
      </c>
      <c r="P291" s="2">
        <v>35625</v>
      </c>
      <c r="Q291" s="2">
        <v>14055</v>
      </c>
      <c r="R291">
        <v>2</v>
      </c>
    </row>
    <row r="292" spans="1:18" x14ac:dyDescent="0.25">
      <c r="A292" t="s">
        <v>1185</v>
      </c>
      <c r="B292" s="1">
        <v>45577</v>
      </c>
      <c r="C292" t="s">
        <v>278</v>
      </c>
      <c r="D292" t="s">
        <v>279</v>
      </c>
      <c r="E292" t="s">
        <v>64</v>
      </c>
      <c r="F292" t="s">
        <v>23</v>
      </c>
      <c r="G292" t="s">
        <v>25</v>
      </c>
      <c r="H292" t="s">
        <v>35</v>
      </c>
      <c r="I292" t="s">
        <v>120</v>
      </c>
      <c r="J292" t="s">
        <v>59</v>
      </c>
      <c r="K292">
        <v>2</v>
      </c>
      <c r="L292" s="2">
        <v>8130</v>
      </c>
      <c r="M292" s="2">
        <f>Table1[[#This Row],[Cost_Price]]*Table1[[#This Row],[Quantity_Sold]]</f>
        <v>16260</v>
      </c>
      <c r="N292" s="2">
        <v>10082</v>
      </c>
      <c r="O292" s="5">
        <v>0.04</v>
      </c>
      <c r="P292" s="2">
        <v>20164</v>
      </c>
      <c r="Q292" s="2">
        <v>3904</v>
      </c>
      <c r="R292">
        <v>4</v>
      </c>
    </row>
    <row r="293" spans="1:18" x14ac:dyDescent="0.25">
      <c r="A293" t="s">
        <v>1186</v>
      </c>
      <c r="B293" s="1">
        <v>45408</v>
      </c>
      <c r="C293" t="s">
        <v>149</v>
      </c>
      <c r="D293" t="s">
        <v>150</v>
      </c>
      <c r="E293" t="s">
        <v>51</v>
      </c>
      <c r="F293" t="s">
        <v>73</v>
      </c>
      <c r="G293" t="s">
        <v>44</v>
      </c>
      <c r="H293" t="s">
        <v>45</v>
      </c>
      <c r="I293" t="s">
        <v>27</v>
      </c>
      <c r="J293" t="s">
        <v>28</v>
      </c>
      <c r="K293">
        <v>4</v>
      </c>
      <c r="L293" s="2">
        <v>6380</v>
      </c>
      <c r="M293" s="2">
        <f>Table1[[#This Row],[Cost_Price]]*Table1[[#This Row],[Quantity_Sold]]</f>
        <v>25520</v>
      </c>
      <c r="N293" s="2">
        <v>8832</v>
      </c>
      <c r="O293" s="5">
        <v>0.1</v>
      </c>
      <c r="P293" s="2">
        <v>35328</v>
      </c>
      <c r="Q293" s="2">
        <v>9808</v>
      </c>
      <c r="R293">
        <v>5</v>
      </c>
    </row>
    <row r="294" spans="1:18" x14ac:dyDescent="0.25">
      <c r="A294" t="s">
        <v>1187</v>
      </c>
      <c r="B294" s="1">
        <v>45474</v>
      </c>
      <c r="C294" t="s">
        <v>131</v>
      </c>
      <c r="D294" t="s">
        <v>132</v>
      </c>
      <c r="E294" t="s">
        <v>64</v>
      </c>
      <c r="F294" t="s">
        <v>23</v>
      </c>
      <c r="G294" t="s">
        <v>44</v>
      </c>
      <c r="H294" t="s">
        <v>45</v>
      </c>
      <c r="I294" t="s">
        <v>27</v>
      </c>
      <c r="J294" t="s">
        <v>59</v>
      </c>
      <c r="K294">
        <v>4</v>
      </c>
      <c r="L294" s="2">
        <v>4075</v>
      </c>
      <c r="M294" s="2">
        <f>Table1[[#This Row],[Cost_Price]]*Table1[[#This Row],[Quantity_Sold]]</f>
        <v>16300</v>
      </c>
      <c r="N294" s="2">
        <v>9092</v>
      </c>
      <c r="O294" s="5">
        <v>0.04</v>
      </c>
      <c r="P294" s="2">
        <v>36368</v>
      </c>
      <c r="Q294" s="2">
        <v>20068</v>
      </c>
      <c r="R294">
        <v>5</v>
      </c>
    </row>
    <row r="295" spans="1:18" x14ac:dyDescent="0.25">
      <c r="A295" t="s">
        <v>1188</v>
      </c>
      <c r="B295" s="1">
        <v>45369</v>
      </c>
      <c r="C295" t="s">
        <v>141</v>
      </c>
      <c r="D295" t="s">
        <v>142</v>
      </c>
      <c r="E295" t="s">
        <v>51</v>
      </c>
      <c r="F295" t="s">
        <v>92</v>
      </c>
      <c r="G295" t="s">
        <v>44</v>
      </c>
      <c r="H295" t="s">
        <v>35</v>
      </c>
      <c r="I295" t="s">
        <v>103</v>
      </c>
      <c r="J295" t="s">
        <v>28</v>
      </c>
      <c r="K295">
        <v>3</v>
      </c>
      <c r="L295" s="2">
        <v>14563</v>
      </c>
      <c r="M295" s="2">
        <f>Table1[[#This Row],[Cost_Price]]*Table1[[#This Row],[Quantity_Sold]]</f>
        <v>43689</v>
      </c>
      <c r="N295" s="2">
        <v>16807</v>
      </c>
      <c r="O295" s="5">
        <v>0.02</v>
      </c>
      <c r="P295" s="2">
        <v>50421</v>
      </c>
      <c r="Q295" s="2">
        <v>6732</v>
      </c>
      <c r="R295">
        <v>5</v>
      </c>
    </row>
    <row r="296" spans="1:18" x14ac:dyDescent="0.25">
      <c r="A296" t="s">
        <v>1189</v>
      </c>
      <c r="B296" s="1">
        <v>45771</v>
      </c>
      <c r="C296" t="s">
        <v>20</v>
      </c>
      <c r="D296" t="s">
        <v>1107</v>
      </c>
      <c r="E296" t="s">
        <v>22</v>
      </c>
      <c r="F296" t="s">
        <v>92</v>
      </c>
      <c r="G296" t="s">
        <v>44</v>
      </c>
      <c r="H296" t="s">
        <v>45</v>
      </c>
      <c r="I296" t="s">
        <v>58</v>
      </c>
      <c r="J296" t="s">
        <v>59</v>
      </c>
      <c r="K296">
        <v>2</v>
      </c>
      <c r="L296" s="2">
        <v>9833</v>
      </c>
      <c r="M296" s="2">
        <f>Table1[[#This Row],[Cost_Price]]*Table1[[#This Row],[Quantity_Sold]]</f>
        <v>19666</v>
      </c>
      <c r="N296" s="2">
        <v>14606</v>
      </c>
      <c r="O296" s="5">
        <v>0.1</v>
      </c>
      <c r="P296" s="2">
        <v>29212</v>
      </c>
      <c r="Q296" s="2">
        <v>9546</v>
      </c>
      <c r="R296" s="3" t="s">
        <v>1110</v>
      </c>
    </row>
    <row r="297" spans="1:18" x14ac:dyDescent="0.25">
      <c r="A297" t="s">
        <v>1190</v>
      </c>
      <c r="B297" s="1">
        <v>45661</v>
      </c>
      <c r="C297" t="s">
        <v>87</v>
      </c>
      <c r="D297" t="s">
        <v>88</v>
      </c>
      <c r="E297" t="s">
        <v>33</v>
      </c>
      <c r="F297" t="s">
        <v>23</v>
      </c>
      <c r="G297" t="s">
        <v>44</v>
      </c>
      <c r="H297" t="s">
        <v>35</v>
      </c>
      <c r="I297" t="s">
        <v>58</v>
      </c>
      <c r="J297" t="s">
        <v>59</v>
      </c>
      <c r="K297">
        <v>1</v>
      </c>
      <c r="L297" s="2">
        <v>3221</v>
      </c>
      <c r="M297" s="2">
        <f>Table1[[#This Row],[Cost_Price]]*Table1[[#This Row],[Quantity_Sold]]</f>
        <v>3221</v>
      </c>
      <c r="N297" s="2">
        <v>6619</v>
      </c>
      <c r="O297" s="5">
        <v>0.02</v>
      </c>
      <c r="P297" s="2">
        <v>6619</v>
      </c>
      <c r="Q297" s="2">
        <v>3398</v>
      </c>
      <c r="R297">
        <v>2</v>
      </c>
    </row>
    <row r="298" spans="1:18" x14ac:dyDescent="0.25">
      <c r="A298" t="s">
        <v>1191</v>
      </c>
      <c r="B298" s="1">
        <v>45551</v>
      </c>
      <c r="C298" t="s">
        <v>82</v>
      </c>
      <c r="D298" t="s">
        <v>83</v>
      </c>
      <c r="E298" t="s">
        <v>51</v>
      </c>
      <c r="F298" t="s">
        <v>42</v>
      </c>
      <c r="G298" t="s">
        <v>25</v>
      </c>
      <c r="H298" t="s">
        <v>35</v>
      </c>
      <c r="I298" t="s">
        <v>103</v>
      </c>
      <c r="J298" t="s">
        <v>36</v>
      </c>
      <c r="K298">
        <v>2</v>
      </c>
      <c r="L298" s="2">
        <v>7765</v>
      </c>
      <c r="M298" s="2">
        <f>Table1[[#This Row],[Cost_Price]]*Table1[[#This Row],[Quantity_Sold]]</f>
        <v>15530</v>
      </c>
      <c r="N298" s="2">
        <v>8311</v>
      </c>
      <c r="O298" s="5">
        <v>0.04</v>
      </c>
      <c r="P298" s="2">
        <v>16622</v>
      </c>
      <c r="Q298" s="2">
        <v>1092</v>
      </c>
      <c r="R298">
        <v>3</v>
      </c>
    </row>
    <row r="299" spans="1:18" x14ac:dyDescent="0.25">
      <c r="A299" t="s">
        <v>1192</v>
      </c>
      <c r="B299" s="1">
        <v>45723</v>
      </c>
      <c r="C299" t="s">
        <v>278</v>
      </c>
      <c r="D299" t="s">
        <v>279</v>
      </c>
      <c r="E299" t="s">
        <v>64</v>
      </c>
      <c r="F299" t="s">
        <v>23</v>
      </c>
      <c r="G299" t="s">
        <v>44</v>
      </c>
      <c r="H299" t="s">
        <v>26</v>
      </c>
      <c r="I299" t="s">
        <v>58</v>
      </c>
      <c r="J299" t="s">
        <v>59</v>
      </c>
      <c r="K299">
        <v>8</v>
      </c>
      <c r="L299" s="2">
        <v>8423</v>
      </c>
      <c r="M299" s="2">
        <f>Table1[[#This Row],[Cost_Price]]*Table1[[#This Row],[Quantity_Sold]]</f>
        <v>67384</v>
      </c>
      <c r="N299" s="2">
        <v>14997</v>
      </c>
      <c r="O299" s="5">
        <v>0.02</v>
      </c>
      <c r="P299" s="2">
        <v>119976</v>
      </c>
      <c r="Q299" s="2">
        <v>52592</v>
      </c>
      <c r="R299" s="3" t="s">
        <v>1110</v>
      </c>
    </row>
    <row r="300" spans="1:18" x14ac:dyDescent="0.25">
      <c r="A300" t="s">
        <v>1193</v>
      </c>
      <c r="B300" s="1">
        <v>45454</v>
      </c>
      <c r="C300" t="s">
        <v>241</v>
      </c>
      <c r="D300" t="s">
        <v>1109</v>
      </c>
      <c r="E300" t="s">
        <v>22</v>
      </c>
      <c r="F300" t="s">
        <v>23</v>
      </c>
      <c r="G300" t="s">
        <v>25</v>
      </c>
      <c r="H300" t="s">
        <v>45</v>
      </c>
      <c r="I300" t="s">
        <v>103</v>
      </c>
      <c r="J300" t="s">
        <v>54</v>
      </c>
      <c r="K300">
        <v>7</v>
      </c>
      <c r="L300" s="2">
        <v>1958</v>
      </c>
      <c r="M300" s="2">
        <f>Table1[[#This Row],[Cost_Price]]*Table1[[#This Row],[Quantity_Sold]]</f>
        <v>13706</v>
      </c>
      <c r="N300" s="2">
        <v>7779</v>
      </c>
      <c r="O300" s="5">
        <v>0</v>
      </c>
      <c r="P300" s="2">
        <v>54453</v>
      </c>
      <c r="Q300" s="2">
        <v>40747</v>
      </c>
      <c r="R300">
        <v>3</v>
      </c>
    </row>
    <row r="301" spans="1:18" x14ac:dyDescent="0.25">
      <c r="A301" t="s">
        <v>1194</v>
      </c>
      <c r="B301" s="1">
        <v>45737</v>
      </c>
      <c r="C301" t="s">
        <v>131</v>
      </c>
      <c r="D301" t="s">
        <v>132</v>
      </c>
      <c r="E301" t="s">
        <v>64</v>
      </c>
      <c r="F301" t="s">
        <v>1110</v>
      </c>
      <c r="G301" t="s">
        <v>44</v>
      </c>
      <c r="H301" t="s">
        <v>45</v>
      </c>
      <c r="I301" t="s">
        <v>27</v>
      </c>
      <c r="J301" t="s">
        <v>36</v>
      </c>
      <c r="K301">
        <v>4</v>
      </c>
      <c r="L301" s="2">
        <v>6979</v>
      </c>
      <c r="M301" s="2">
        <f>Table1[[#This Row],[Cost_Price]]*Table1[[#This Row],[Quantity_Sold]]</f>
        <v>27916</v>
      </c>
      <c r="N301" s="2">
        <v>9656</v>
      </c>
      <c r="O301" s="5">
        <v>0.02</v>
      </c>
      <c r="P301" s="2">
        <v>38624</v>
      </c>
      <c r="Q301" s="2">
        <v>10708</v>
      </c>
      <c r="R301">
        <v>4</v>
      </c>
    </row>
    <row r="302" spans="1:18" x14ac:dyDescent="0.25">
      <c r="A302" t="s">
        <v>1195</v>
      </c>
      <c r="B302" s="1">
        <v>45484</v>
      </c>
      <c r="C302" t="s">
        <v>82</v>
      </c>
      <c r="D302" t="s">
        <v>83</v>
      </c>
      <c r="E302" t="s">
        <v>51</v>
      </c>
      <c r="F302" t="s">
        <v>1110</v>
      </c>
      <c r="G302" t="s">
        <v>25</v>
      </c>
      <c r="H302" t="s">
        <v>35</v>
      </c>
      <c r="I302" t="s">
        <v>27</v>
      </c>
      <c r="J302" t="s">
        <v>59</v>
      </c>
      <c r="K302">
        <v>3</v>
      </c>
      <c r="L302" s="2">
        <v>5579</v>
      </c>
      <c r="M302" s="2">
        <f>Table1[[#This Row],[Cost_Price]]*Table1[[#This Row],[Quantity_Sold]]</f>
        <v>16737</v>
      </c>
      <c r="N302" s="2">
        <v>11009</v>
      </c>
      <c r="O302" s="5">
        <v>0.05</v>
      </c>
      <c r="P302" s="2">
        <v>33027</v>
      </c>
      <c r="Q302" s="2">
        <v>16290</v>
      </c>
      <c r="R302">
        <v>2</v>
      </c>
    </row>
    <row r="303" spans="1:18" x14ac:dyDescent="0.25">
      <c r="A303" t="s">
        <v>1196</v>
      </c>
      <c r="B303" s="1">
        <v>45636</v>
      </c>
      <c r="C303" t="s">
        <v>141</v>
      </c>
      <c r="D303" t="s">
        <v>142</v>
      </c>
      <c r="E303" t="s">
        <v>51</v>
      </c>
      <c r="F303" t="s">
        <v>73</v>
      </c>
      <c r="G303" t="s">
        <v>44</v>
      </c>
      <c r="H303" t="s">
        <v>26</v>
      </c>
      <c r="I303" t="s">
        <v>103</v>
      </c>
      <c r="J303" t="s">
        <v>59</v>
      </c>
      <c r="K303">
        <v>2</v>
      </c>
      <c r="L303" s="2">
        <v>13874</v>
      </c>
      <c r="M303" s="2">
        <f>Table1[[#This Row],[Cost_Price]]*Table1[[#This Row],[Quantity_Sold]]</f>
        <v>27748</v>
      </c>
      <c r="N303" s="2">
        <v>16412</v>
      </c>
      <c r="O303" s="5">
        <v>0.02</v>
      </c>
      <c r="P303" s="2">
        <v>32824</v>
      </c>
      <c r="Q303" s="2">
        <v>5076</v>
      </c>
      <c r="R303">
        <v>1</v>
      </c>
    </row>
    <row r="304" spans="1:18" x14ac:dyDescent="0.25">
      <c r="A304" t="s">
        <v>1197</v>
      </c>
      <c r="B304" s="1">
        <v>45321</v>
      </c>
      <c r="C304" t="s">
        <v>62</v>
      </c>
      <c r="D304" t="s">
        <v>63</v>
      </c>
      <c r="E304" t="s">
        <v>64</v>
      </c>
      <c r="F304" t="s">
        <v>23</v>
      </c>
      <c r="G304" t="s">
        <v>44</v>
      </c>
      <c r="H304" t="s">
        <v>35</v>
      </c>
      <c r="I304" t="s">
        <v>58</v>
      </c>
      <c r="J304" t="s">
        <v>59</v>
      </c>
      <c r="K304">
        <v>2</v>
      </c>
      <c r="L304" s="2">
        <v>7421</v>
      </c>
      <c r="M304" s="2">
        <f>Table1[[#This Row],[Cost_Price]]*Table1[[#This Row],[Quantity_Sold]]</f>
        <v>14842</v>
      </c>
      <c r="N304" s="2">
        <v>9789</v>
      </c>
      <c r="O304" s="5">
        <v>0</v>
      </c>
      <c r="P304" s="2">
        <v>19578</v>
      </c>
      <c r="Q304" s="2">
        <v>4736</v>
      </c>
      <c r="R304">
        <v>4</v>
      </c>
    </row>
    <row r="305" spans="1:18" x14ac:dyDescent="0.25">
      <c r="A305" t="s">
        <v>1198</v>
      </c>
      <c r="B305" s="1">
        <v>45440</v>
      </c>
      <c r="C305" t="s">
        <v>62</v>
      </c>
      <c r="D305" t="s">
        <v>63</v>
      </c>
      <c r="E305" t="s">
        <v>64</v>
      </c>
      <c r="F305" t="s">
        <v>92</v>
      </c>
      <c r="G305" t="s">
        <v>44</v>
      </c>
      <c r="H305" t="s">
        <v>26</v>
      </c>
      <c r="I305" t="s">
        <v>27</v>
      </c>
      <c r="J305" t="s">
        <v>59</v>
      </c>
      <c r="K305">
        <v>4</v>
      </c>
      <c r="L305" s="2">
        <v>4639</v>
      </c>
      <c r="M305" s="2">
        <f>Table1[[#This Row],[Cost_Price]]*Table1[[#This Row],[Quantity_Sold]]</f>
        <v>18556</v>
      </c>
      <c r="N305" s="2">
        <v>6814</v>
      </c>
      <c r="O305" s="5">
        <v>0.1</v>
      </c>
      <c r="P305" s="2">
        <v>27256</v>
      </c>
      <c r="Q305" s="2">
        <v>8700</v>
      </c>
      <c r="R305">
        <v>4</v>
      </c>
    </row>
    <row r="306" spans="1:18" x14ac:dyDescent="0.25">
      <c r="A306" t="s">
        <v>1199</v>
      </c>
      <c r="B306" s="1">
        <v>45778</v>
      </c>
      <c r="C306" t="s">
        <v>106</v>
      </c>
      <c r="D306" t="s">
        <v>107</v>
      </c>
      <c r="E306" t="s">
        <v>41</v>
      </c>
      <c r="F306" t="s">
        <v>92</v>
      </c>
      <c r="G306" t="s">
        <v>25</v>
      </c>
      <c r="H306" t="s">
        <v>45</v>
      </c>
      <c r="I306" t="s">
        <v>103</v>
      </c>
      <c r="J306" t="s">
        <v>36</v>
      </c>
      <c r="K306">
        <v>3</v>
      </c>
      <c r="L306" s="2">
        <v>2444</v>
      </c>
      <c r="M306" s="2">
        <f>Table1[[#This Row],[Cost_Price]]*Table1[[#This Row],[Quantity_Sold]]</f>
        <v>7332</v>
      </c>
      <c r="N306" s="2">
        <v>10083</v>
      </c>
      <c r="O306" s="5">
        <v>0.05</v>
      </c>
      <c r="P306" s="2">
        <v>30249</v>
      </c>
      <c r="Q306" s="2">
        <v>22917</v>
      </c>
      <c r="R306">
        <v>3</v>
      </c>
    </row>
    <row r="307" spans="1:18" x14ac:dyDescent="0.25">
      <c r="A307" t="s">
        <v>1200</v>
      </c>
      <c r="B307" s="1">
        <v>45671</v>
      </c>
      <c r="C307" t="s">
        <v>31</v>
      </c>
      <c r="D307" t="s">
        <v>32</v>
      </c>
      <c r="E307" t="s">
        <v>33</v>
      </c>
      <c r="F307" t="s">
        <v>23</v>
      </c>
      <c r="G307" t="s">
        <v>25</v>
      </c>
      <c r="H307" t="s">
        <v>35</v>
      </c>
      <c r="I307" t="s">
        <v>120</v>
      </c>
      <c r="J307" t="s">
        <v>36</v>
      </c>
      <c r="K307">
        <v>5</v>
      </c>
      <c r="L307" s="2">
        <v>7372</v>
      </c>
      <c r="M307" s="2">
        <f>Table1[[#This Row],[Cost_Price]]*Table1[[#This Row],[Quantity_Sold]]</f>
        <v>36860</v>
      </c>
      <c r="N307" s="2">
        <v>14992</v>
      </c>
      <c r="O307" s="5">
        <v>0</v>
      </c>
      <c r="P307" s="2">
        <v>74960</v>
      </c>
      <c r="Q307" s="2">
        <v>38100</v>
      </c>
      <c r="R307" s="3" t="s">
        <v>1110</v>
      </c>
    </row>
    <row r="308" spans="1:18" x14ac:dyDescent="0.25">
      <c r="A308" t="s">
        <v>1201</v>
      </c>
      <c r="B308" s="1">
        <v>45812</v>
      </c>
      <c r="C308" t="s">
        <v>49</v>
      </c>
      <c r="D308" t="s">
        <v>83</v>
      </c>
      <c r="E308" t="s">
        <v>51</v>
      </c>
      <c r="F308" t="s">
        <v>92</v>
      </c>
      <c r="G308" t="s">
        <v>25</v>
      </c>
      <c r="H308" t="s">
        <v>35</v>
      </c>
      <c r="I308" t="s">
        <v>58</v>
      </c>
      <c r="J308" t="s">
        <v>28</v>
      </c>
      <c r="K308">
        <v>1</v>
      </c>
      <c r="L308" s="2">
        <v>10880</v>
      </c>
      <c r="M308" s="2">
        <f>Table1[[#This Row],[Cost_Price]]*Table1[[#This Row],[Quantity_Sold]]</f>
        <v>10880</v>
      </c>
      <c r="N308" s="2">
        <v>12311</v>
      </c>
      <c r="O308" s="5">
        <v>0.05</v>
      </c>
      <c r="P308" s="2">
        <v>12311</v>
      </c>
      <c r="Q308" s="2">
        <v>1431</v>
      </c>
      <c r="R308">
        <v>5</v>
      </c>
    </row>
    <row r="309" spans="1:18" x14ac:dyDescent="0.25">
      <c r="A309" t="s">
        <v>1202</v>
      </c>
      <c r="B309" s="1">
        <v>45612</v>
      </c>
      <c r="C309" t="s">
        <v>117</v>
      </c>
      <c r="D309" t="s">
        <v>118</v>
      </c>
      <c r="E309" t="s">
        <v>41</v>
      </c>
      <c r="F309" t="s">
        <v>73</v>
      </c>
      <c r="G309" t="s">
        <v>44</v>
      </c>
      <c r="H309" t="s">
        <v>35</v>
      </c>
      <c r="I309" t="s">
        <v>103</v>
      </c>
      <c r="J309" t="s">
        <v>54</v>
      </c>
      <c r="K309">
        <v>6</v>
      </c>
      <c r="L309" s="2">
        <v>3791</v>
      </c>
      <c r="M309" s="2">
        <f>Table1[[#This Row],[Cost_Price]]*Table1[[#This Row],[Quantity_Sold]]</f>
        <v>22746</v>
      </c>
      <c r="N309" s="2">
        <v>6384</v>
      </c>
      <c r="O309" s="5">
        <v>0.05</v>
      </c>
      <c r="P309" s="2">
        <v>38304</v>
      </c>
      <c r="Q309" s="2">
        <v>15558</v>
      </c>
      <c r="R309" s="3" t="s">
        <v>1110</v>
      </c>
    </row>
    <row r="310" spans="1:18" x14ac:dyDescent="0.25">
      <c r="A310" t="s">
        <v>1203</v>
      </c>
      <c r="B310" s="1">
        <v>45780</v>
      </c>
      <c r="C310" t="s">
        <v>149</v>
      </c>
      <c r="D310" t="s">
        <v>150</v>
      </c>
      <c r="E310" t="s">
        <v>51</v>
      </c>
      <c r="F310" t="s">
        <v>98</v>
      </c>
      <c r="G310" t="s">
        <v>44</v>
      </c>
      <c r="H310" t="s">
        <v>26</v>
      </c>
      <c r="I310" t="s">
        <v>27</v>
      </c>
      <c r="J310" t="s">
        <v>54</v>
      </c>
      <c r="K310">
        <v>3</v>
      </c>
      <c r="L310" s="2">
        <v>6959</v>
      </c>
      <c r="M310" s="2">
        <f>Table1[[#This Row],[Cost_Price]]*Table1[[#This Row],[Quantity_Sold]]</f>
        <v>20877</v>
      </c>
      <c r="N310" s="2">
        <v>14433</v>
      </c>
      <c r="O310" s="5">
        <v>0.1</v>
      </c>
      <c r="P310" s="2">
        <v>43299</v>
      </c>
      <c r="Q310" s="2">
        <v>22422</v>
      </c>
      <c r="R310">
        <v>1</v>
      </c>
    </row>
    <row r="311" spans="1:18" x14ac:dyDescent="0.25">
      <c r="A311" t="s">
        <v>1204</v>
      </c>
      <c r="B311" s="1">
        <v>45596</v>
      </c>
      <c r="C311" t="s">
        <v>62</v>
      </c>
      <c r="D311" t="s">
        <v>63</v>
      </c>
      <c r="E311" t="s">
        <v>64</v>
      </c>
      <c r="F311" t="s">
        <v>92</v>
      </c>
      <c r="G311" t="s">
        <v>44</v>
      </c>
      <c r="H311" t="s">
        <v>45</v>
      </c>
      <c r="I311" t="s">
        <v>58</v>
      </c>
      <c r="J311" t="s">
        <v>54</v>
      </c>
      <c r="K311">
        <v>5</v>
      </c>
      <c r="L311" s="2">
        <v>7823</v>
      </c>
      <c r="M311" s="2">
        <f>Table1[[#This Row],[Cost_Price]]*Table1[[#This Row],[Quantity_Sold]]</f>
        <v>39115</v>
      </c>
      <c r="N311" s="2">
        <v>12470</v>
      </c>
      <c r="O311" s="5">
        <v>0.1</v>
      </c>
      <c r="P311" s="2">
        <v>62350</v>
      </c>
      <c r="Q311" s="2">
        <v>23235</v>
      </c>
      <c r="R311">
        <v>1</v>
      </c>
    </row>
    <row r="312" spans="1:18" x14ac:dyDescent="0.25">
      <c r="A312" t="s">
        <v>1205</v>
      </c>
      <c r="B312" s="1">
        <v>45628</v>
      </c>
      <c r="C312" t="s">
        <v>131</v>
      </c>
      <c r="D312" t="s">
        <v>132</v>
      </c>
      <c r="E312" t="s">
        <v>64</v>
      </c>
      <c r="F312" t="s">
        <v>92</v>
      </c>
      <c r="G312" t="s">
        <v>44</v>
      </c>
      <c r="H312" t="s">
        <v>35</v>
      </c>
      <c r="I312" t="s">
        <v>103</v>
      </c>
      <c r="J312" t="s">
        <v>54</v>
      </c>
      <c r="K312">
        <v>3</v>
      </c>
      <c r="L312" s="2">
        <v>8551</v>
      </c>
      <c r="M312" s="2">
        <f>Table1[[#This Row],[Cost_Price]]*Table1[[#This Row],[Quantity_Sold]]</f>
        <v>25653</v>
      </c>
      <c r="N312" s="2">
        <v>14683</v>
      </c>
      <c r="O312" s="5">
        <v>0.1</v>
      </c>
      <c r="P312" s="2">
        <v>44049</v>
      </c>
      <c r="Q312" s="2">
        <v>18396</v>
      </c>
      <c r="R312">
        <v>2</v>
      </c>
    </row>
    <row r="313" spans="1:18" x14ac:dyDescent="0.25">
      <c r="A313" t="s">
        <v>1206</v>
      </c>
      <c r="B313" s="1">
        <v>45402</v>
      </c>
      <c r="C313" t="s">
        <v>241</v>
      </c>
      <c r="D313" t="s">
        <v>1109</v>
      </c>
      <c r="E313" t="s">
        <v>22</v>
      </c>
      <c r="F313" t="s">
        <v>42</v>
      </c>
      <c r="G313" t="s">
        <v>25</v>
      </c>
      <c r="H313" t="s">
        <v>26</v>
      </c>
      <c r="I313" t="s">
        <v>103</v>
      </c>
      <c r="J313" t="s">
        <v>54</v>
      </c>
      <c r="K313">
        <v>3</v>
      </c>
      <c r="L313" s="2">
        <v>2645</v>
      </c>
      <c r="M313" s="2">
        <f>Table1[[#This Row],[Cost_Price]]*Table1[[#This Row],[Quantity_Sold]]</f>
        <v>7935</v>
      </c>
      <c r="N313" s="2">
        <v>3474</v>
      </c>
      <c r="O313" s="5">
        <v>0.1</v>
      </c>
      <c r="P313" s="2">
        <v>10422</v>
      </c>
      <c r="Q313" s="2">
        <v>2487</v>
      </c>
      <c r="R313">
        <v>3</v>
      </c>
    </row>
    <row r="314" spans="1:18" x14ac:dyDescent="0.25">
      <c r="A314" t="s">
        <v>1207</v>
      </c>
      <c r="B314" s="1">
        <v>45731</v>
      </c>
      <c r="C314" t="s">
        <v>20</v>
      </c>
      <c r="D314" t="s">
        <v>1107</v>
      </c>
      <c r="E314" t="s">
        <v>22</v>
      </c>
      <c r="F314" t="s">
        <v>73</v>
      </c>
      <c r="G314" t="s">
        <v>44</v>
      </c>
      <c r="H314" t="s">
        <v>45</v>
      </c>
      <c r="I314" t="s">
        <v>103</v>
      </c>
      <c r="J314" t="s">
        <v>54</v>
      </c>
      <c r="K314">
        <v>8</v>
      </c>
      <c r="L314" s="2">
        <v>1598</v>
      </c>
      <c r="M314" s="2">
        <f>Table1[[#This Row],[Cost_Price]]*Table1[[#This Row],[Quantity_Sold]]</f>
        <v>12784</v>
      </c>
      <c r="N314" s="2">
        <v>3746</v>
      </c>
      <c r="O314" s="5">
        <v>0.1</v>
      </c>
      <c r="P314" s="2">
        <v>29968</v>
      </c>
      <c r="Q314" s="2">
        <v>17184</v>
      </c>
      <c r="R314">
        <v>4</v>
      </c>
    </row>
    <row r="315" spans="1:18" x14ac:dyDescent="0.25">
      <c r="A315" t="s">
        <v>1208</v>
      </c>
      <c r="B315" s="1">
        <v>45527</v>
      </c>
      <c r="C315" t="s">
        <v>131</v>
      </c>
      <c r="D315" t="s">
        <v>132</v>
      </c>
      <c r="E315" t="s">
        <v>64</v>
      </c>
      <c r="F315" t="s">
        <v>98</v>
      </c>
      <c r="G315" t="s">
        <v>25</v>
      </c>
      <c r="H315" t="s">
        <v>45</v>
      </c>
      <c r="I315" t="s">
        <v>103</v>
      </c>
      <c r="J315" t="s">
        <v>28</v>
      </c>
      <c r="K315">
        <v>8</v>
      </c>
      <c r="L315" s="2">
        <v>10302</v>
      </c>
      <c r="M315" s="2">
        <f>Table1[[#This Row],[Cost_Price]]*Table1[[#This Row],[Quantity_Sold]]</f>
        <v>82416</v>
      </c>
      <c r="N315" s="2">
        <v>13674</v>
      </c>
      <c r="O315" s="5">
        <v>0</v>
      </c>
      <c r="P315" s="2">
        <v>109392</v>
      </c>
      <c r="Q315" s="2">
        <v>26976</v>
      </c>
      <c r="R315">
        <v>2</v>
      </c>
    </row>
    <row r="316" spans="1:18" x14ac:dyDescent="0.25">
      <c r="A316" t="s">
        <v>1209</v>
      </c>
      <c r="B316" s="1">
        <v>45693</v>
      </c>
      <c r="C316" t="s">
        <v>62</v>
      </c>
      <c r="D316" t="s">
        <v>63</v>
      </c>
      <c r="E316" t="s">
        <v>64</v>
      </c>
      <c r="F316" t="s">
        <v>73</v>
      </c>
      <c r="G316" t="s">
        <v>44</v>
      </c>
      <c r="H316" t="s">
        <v>26</v>
      </c>
      <c r="I316" t="s">
        <v>103</v>
      </c>
      <c r="J316" t="s">
        <v>59</v>
      </c>
      <c r="K316">
        <v>2</v>
      </c>
      <c r="L316" s="2">
        <v>3754</v>
      </c>
      <c r="M316" s="2">
        <f>Table1[[#This Row],[Cost_Price]]*Table1[[#This Row],[Quantity_Sold]]</f>
        <v>7508</v>
      </c>
      <c r="N316" s="2">
        <v>8542</v>
      </c>
      <c r="O316" s="5">
        <v>0.02</v>
      </c>
      <c r="P316" s="2">
        <v>17084</v>
      </c>
      <c r="Q316" s="2">
        <v>9576</v>
      </c>
      <c r="R316">
        <v>5</v>
      </c>
    </row>
    <row r="317" spans="1:18" x14ac:dyDescent="0.25">
      <c r="A317" t="s">
        <v>1210</v>
      </c>
      <c r="B317" s="1">
        <v>45453</v>
      </c>
      <c r="C317" t="s">
        <v>31</v>
      </c>
      <c r="D317" t="s">
        <v>32</v>
      </c>
      <c r="E317" t="s">
        <v>33</v>
      </c>
      <c r="F317" t="s">
        <v>73</v>
      </c>
      <c r="G317" t="s">
        <v>25</v>
      </c>
      <c r="H317" t="s">
        <v>26</v>
      </c>
      <c r="I317" t="s">
        <v>103</v>
      </c>
      <c r="J317" t="s">
        <v>59</v>
      </c>
      <c r="K317">
        <v>7</v>
      </c>
      <c r="L317" s="2">
        <v>6557</v>
      </c>
      <c r="M317" s="2">
        <f>Table1[[#This Row],[Cost_Price]]*Table1[[#This Row],[Quantity_Sold]]</f>
        <v>45899</v>
      </c>
      <c r="N317" s="2">
        <v>9616</v>
      </c>
      <c r="O317" s="5">
        <v>0.04</v>
      </c>
      <c r="P317" s="2">
        <v>67312</v>
      </c>
      <c r="Q317" s="2">
        <v>21413</v>
      </c>
      <c r="R317">
        <v>3</v>
      </c>
    </row>
    <row r="318" spans="1:18" x14ac:dyDescent="0.25">
      <c r="A318" t="s">
        <v>1211</v>
      </c>
      <c r="B318" s="1">
        <v>45650</v>
      </c>
      <c r="C318" t="s">
        <v>131</v>
      </c>
      <c r="D318" t="s">
        <v>132</v>
      </c>
      <c r="E318" t="s">
        <v>64</v>
      </c>
      <c r="F318" t="s">
        <v>73</v>
      </c>
      <c r="G318" t="s">
        <v>25</v>
      </c>
      <c r="H318" t="s">
        <v>35</v>
      </c>
      <c r="I318" t="s">
        <v>120</v>
      </c>
      <c r="J318" t="s">
        <v>54</v>
      </c>
      <c r="K318">
        <v>3</v>
      </c>
      <c r="L318" s="2">
        <v>5186</v>
      </c>
      <c r="M318" s="2">
        <f>Table1[[#This Row],[Cost_Price]]*Table1[[#This Row],[Quantity_Sold]]</f>
        <v>15558</v>
      </c>
      <c r="N318" s="2">
        <v>7137</v>
      </c>
      <c r="O318" s="5">
        <v>0.1</v>
      </c>
      <c r="P318" s="2">
        <v>21411</v>
      </c>
      <c r="Q318" s="2">
        <v>5853</v>
      </c>
      <c r="R318" s="3" t="s">
        <v>1110</v>
      </c>
    </row>
    <row r="319" spans="1:18" x14ac:dyDescent="0.25">
      <c r="A319" t="s">
        <v>1212</v>
      </c>
      <c r="B319" s="1">
        <v>45561</v>
      </c>
      <c r="C319" t="s">
        <v>131</v>
      </c>
      <c r="D319" t="s">
        <v>132</v>
      </c>
      <c r="E319" t="s">
        <v>64</v>
      </c>
      <c r="F319" t="s">
        <v>1110</v>
      </c>
      <c r="G319" t="s">
        <v>44</v>
      </c>
      <c r="H319" t="s">
        <v>26</v>
      </c>
      <c r="I319" t="s">
        <v>103</v>
      </c>
      <c r="J319" t="s">
        <v>54</v>
      </c>
      <c r="K319">
        <v>2</v>
      </c>
      <c r="L319" s="2">
        <v>5402</v>
      </c>
      <c r="M319" s="2">
        <f>Table1[[#This Row],[Cost_Price]]*Table1[[#This Row],[Quantity_Sold]]</f>
        <v>10804</v>
      </c>
      <c r="N319" s="2">
        <v>8881</v>
      </c>
      <c r="O319" s="5">
        <v>0.02</v>
      </c>
      <c r="P319" s="2">
        <v>17762</v>
      </c>
      <c r="Q319" s="2">
        <v>6958</v>
      </c>
      <c r="R319" s="3" t="s">
        <v>1110</v>
      </c>
    </row>
    <row r="320" spans="1:18" x14ac:dyDescent="0.25">
      <c r="A320" t="s">
        <v>1213</v>
      </c>
      <c r="B320" s="1">
        <v>45724</v>
      </c>
      <c r="C320" t="s">
        <v>62</v>
      </c>
      <c r="D320" t="s">
        <v>63</v>
      </c>
      <c r="E320" t="s">
        <v>64</v>
      </c>
      <c r="F320" t="s">
        <v>23</v>
      </c>
      <c r="G320" t="s">
        <v>44</v>
      </c>
      <c r="H320" t="s">
        <v>26</v>
      </c>
      <c r="I320" t="s">
        <v>58</v>
      </c>
      <c r="J320" t="s">
        <v>59</v>
      </c>
      <c r="K320">
        <v>4</v>
      </c>
      <c r="L320" s="2">
        <v>12304</v>
      </c>
      <c r="M320" s="2">
        <f>Table1[[#This Row],[Cost_Price]]*Table1[[#This Row],[Quantity_Sold]]</f>
        <v>49216</v>
      </c>
      <c r="N320" s="2">
        <v>12864</v>
      </c>
      <c r="O320" s="5">
        <v>0.1</v>
      </c>
      <c r="P320" s="2">
        <v>51456</v>
      </c>
      <c r="Q320" s="2">
        <v>2240</v>
      </c>
      <c r="R320">
        <v>4</v>
      </c>
    </row>
    <row r="321" spans="1:18" x14ac:dyDescent="0.25">
      <c r="A321" t="s">
        <v>1214</v>
      </c>
      <c r="B321" s="1">
        <v>45535</v>
      </c>
      <c r="C321" t="s">
        <v>77</v>
      </c>
      <c r="D321" t="s">
        <v>78</v>
      </c>
      <c r="E321" t="s">
        <v>64</v>
      </c>
      <c r="F321" t="s">
        <v>23</v>
      </c>
      <c r="G321" t="s">
        <v>25</v>
      </c>
      <c r="H321" t="s">
        <v>26</v>
      </c>
      <c r="I321" t="s">
        <v>58</v>
      </c>
      <c r="J321" t="s">
        <v>36</v>
      </c>
      <c r="K321">
        <v>6</v>
      </c>
      <c r="L321" s="2">
        <v>7186</v>
      </c>
      <c r="M321" s="2">
        <f>Table1[[#This Row],[Cost_Price]]*Table1[[#This Row],[Quantity_Sold]]</f>
        <v>43116</v>
      </c>
      <c r="N321" s="2">
        <v>9237</v>
      </c>
      <c r="O321" s="5">
        <v>0.04</v>
      </c>
      <c r="P321" s="2">
        <v>55422</v>
      </c>
      <c r="Q321" s="2">
        <v>12306</v>
      </c>
      <c r="R321">
        <v>1</v>
      </c>
    </row>
    <row r="322" spans="1:18" x14ac:dyDescent="0.25">
      <c r="A322" t="s">
        <v>1215</v>
      </c>
      <c r="B322" s="1">
        <v>45448</v>
      </c>
      <c r="C322" t="s">
        <v>82</v>
      </c>
      <c r="D322" t="s">
        <v>83</v>
      </c>
      <c r="E322" t="s">
        <v>51</v>
      </c>
      <c r="F322" t="s">
        <v>23</v>
      </c>
      <c r="G322" t="s">
        <v>44</v>
      </c>
      <c r="H322" t="s">
        <v>45</v>
      </c>
      <c r="I322" t="s">
        <v>103</v>
      </c>
      <c r="J322" t="s">
        <v>36</v>
      </c>
      <c r="K322">
        <v>3</v>
      </c>
      <c r="L322" s="2">
        <v>9165</v>
      </c>
      <c r="M322" s="2">
        <f>Table1[[#This Row],[Cost_Price]]*Table1[[#This Row],[Quantity_Sold]]</f>
        <v>27495</v>
      </c>
      <c r="N322" s="2">
        <v>11901</v>
      </c>
      <c r="O322" s="5">
        <v>0.02</v>
      </c>
      <c r="P322" s="2">
        <v>35703</v>
      </c>
      <c r="Q322" s="2">
        <v>8208</v>
      </c>
      <c r="R322">
        <v>3</v>
      </c>
    </row>
    <row r="323" spans="1:18" x14ac:dyDescent="0.25">
      <c r="A323" t="s">
        <v>1216</v>
      </c>
      <c r="B323" s="1">
        <v>45348</v>
      </c>
      <c r="C323" t="s">
        <v>131</v>
      </c>
      <c r="D323" t="s">
        <v>132</v>
      </c>
      <c r="E323" t="s">
        <v>64</v>
      </c>
      <c r="F323" t="s">
        <v>1110</v>
      </c>
      <c r="G323" t="s">
        <v>44</v>
      </c>
      <c r="H323" t="s">
        <v>26</v>
      </c>
      <c r="I323" t="s">
        <v>120</v>
      </c>
      <c r="J323" t="s">
        <v>59</v>
      </c>
      <c r="K323">
        <v>1</v>
      </c>
      <c r="L323" s="2">
        <v>14330</v>
      </c>
      <c r="M323" s="2">
        <f>Table1[[#This Row],[Cost_Price]]*Table1[[#This Row],[Quantity_Sold]]</f>
        <v>14330</v>
      </c>
      <c r="N323" s="2">
        <v>17507</v>
      </c>
      <c r="O323" s="5">
        <v>0.02</v>
      </c>
      <c r="P323" s="2">
        <v>17507</v>
      </c>
      <c r="Q323" s="2">
        <v>3177</v>
      </c>
      <c r="R323">
        <v>3</v>
      </c>
    </row>
    <row r="324" spans="1:18" x14ac:dyDescent="0.25">
      <c r="A324" t="s">
        <v>1217</v>
      </c>
      <c r="B324" s="1">
        <v>45529</v>
      </c>
      <c r="C324" t="s">
        <v>106</v>
      </c>
      <c r="D324" t="s">
        <v>107</v>
      </c>
      <c r="E324" t="s">
        <v>41</v>
      </c>
      <c r="F324" t="s">
        <v>92</v>
      </c>
      <c r="G324" t="s">
        <v>25</v>
      </c>
      <c r="H324" t="s">
        <v>35</v>
      </c>
      <c r="I324" t="s">
        <v>103</v>
      </c>
      <c r="J324" t="s">
        <v>54</v>
      </c>
      <c r="K324">
        <v>6</v>
      </c>
      <c r="L324" s="2">
        <v>5453</v>
      </c>
      <c r="M324" s="2">
        <f>Table1[[#This Row],[Cost_Price]]*Table1[[#This Row],[Quantity_Sold]]</f>
        <v>32718</v>
      </c>
      <c r="N324" s="2">
        <v>7898</v>
      </c>
      <c r="O324" s="5">
        <v>0</v>
      </c>
      <c r="P324" s="2">
        <v>47388</v>
      </c>
      <c r="Q324" s="2">
        <v>14670</v>
      </c>
      <c r="R324">
        <v>5</v>
      </c>
    </row>
    <row r="325" spans="1:18" x14ac:dyDescent="0.25">
      <c r="A325" t="s">
        <v>1218</v>
      </c>
      <c r="B325" s="1">
        <v>45809</v>
      </c>
      <c r="C325" t="s">
        <v>71</v>
      </c>
      <c r="D325" t="s">
        <v>72</v>
      </c>
      <c r="E325" t="s">
        <v>64</v>
      </c>
      <c r="F325" t="s">
        <v>23</v>
      </c>
      <c r="G325" t="s">
        <v>44</v>
      </c>
      <c r="H325" t="s">
        <v>26</v>
      </c>
      <c r="I325" t="s">
        <v>103</v>
      </c>
      <c r="J325" t="s">
        <v>36</v>
      </c>
      <c r="K325">
        <v>4</v>
      </c>
      <c r="L325" s="2">
        <v>14604</v>
      </c>
      <c r="M325" s="2">
        <f>Table1[[#This Row],[Cost_Price]]*Table1[[#This Row],[Quantity_Sold]]</f>
        <v>58416</v>
      </c>
      <c r="N325" s="2">
        <v>17618</v>
      </c>
      <c r="O325" s="5">
        <v>0.02</v>
      </c>
      <c r="P325" s="2">
        <v>70472</v>
      </c>
      <c r="Q325" s="2">
        <v>12056</v>
      </c>
      <c r="R325">
        <v>3</v>
      </c>
    </row>
    <row r="326" spans="1:18" x14ac:dyDescent="0.25">
      <c r="A326" t="s">
        <v>1219</v>
      </c>
      <c r="B326" s="1">
        <v>45409</v>
      </c>
      <c r="C326" t="s">
        <v>62</v>
      </c>
      <c r="D326" t="s">
        <v>63</v>
      </c>
      <c r="E326" t="s">
        <v>64</v>
      </c>
      <c r="F326" t="s">
        <v>23</v>
      </c>
      <c r="G326" t="s">
        <v>44</v>
      </c>
      <c r="H326" t="s">
        <v>26</v>
      </c>
      <c r="I326" t="s">
        <v>58</v>
      </c>
      <c r="J326" t="s">
        <v>28</v>
      </c>
      <c r="K326">
        <v>7</v>
      </c>
      <c r="L326" s="2">
        <v>13693</v>
      </c>
      <c r="M326" s="2">
        <f>Table1[[#This Row],[Cost_Price]]*Table1[[#This Row],[Quantity_Sold]]</f>
        <v>95851</v>
      </c>
      <c r="N326" s="2">
        <v>20760</v>
      </c>
      <c r="O326" s="5">
        <v>0.05</v>
      </c>
      <c r="P326" s="2">
        <v>145320</v>
      </c>
      <c r="Q326" s="2">
        <v>49469</v>
      </c>
      <c r="R326">
        <v>2</v>
      </c>
    </row>
    <row r="327" spans="1:18" x14ac:dyDescent="0.25">
      <c r="A327" t="s">
        <v>1220</v>
      </c>
      <c r="B327" s="1">
        <v>45589</v>
      </c>
      <c r="C327" t="s">
        <v>77</v>
      </c>
      <c r="D327" t="s">
        <v>78</v>
      </c>
      <c r="E327" t="s">
        <v>64</v>
      </c>
      <c r="F327" t="s">
        <v>73</v>
      </c>
      <c r="G327" t="s">
        <v>44</v>
      </c>
      <c r="H327" t="s">
        <v>35</v>
      </c>
      <c r="I327" t="s">
        <v>103</v>
      </c>
      <c r="J327" t="s">
        <v>36</v>
      </c>
      <c r="K327">
        <v>8</v>
      </c>
      <c r="L327" s="2">
        <v>1717</v>
      </c>
      <c r="M327" s="2">
        <f>Table1[[#This Row],[Cost_Price]]*Table1[[#This Row],[Quantity_Sold]]</f>
        <v>13736</v>
      </c>
      <c r="N327" s="2">
        <v>2706</v>
      </c>
      <c r="O327" s="5">
        <v>0.04</v>
      </c>
      <c r="P327" s="2">
        <v>21648</v>
      </c>
      <c r="Q327" s="2">
        <v>7912</v>
      </c>
      <c r="R327" s="3" t="s">
        <v>1110</v>
      </c>
    </row>
    <row r="328" spans="1:18" x14ac:dyDescent="0.25">
      <c r="A328" t="s">
        <v>1221</v>
      </c>
      <c r="B328" s="1">
        <v>45741</v>
      </c>
      <c r="C328" t="s">
        <v>117</v>
      </c>
      <c r="D328" t="s">
        <v>118</v>
      </c>
      <c r="E328" t="s">
        <v>41</v>
      </c>
      <c r="F328" t="s">
        <v>98</v>
      </c>
      <c r="G328" t="s">
        <v>25</v>
      </c>
      <c r="H328" t="s">
        <v>26</v>
      </c>
      <c r="I328" t="s">
        <v>120</v>
      </c>
      <c r="J328" t="s">
        <v>59</v>
      </c>
      <c r="K328">
        <v>7</v>
      </c>
      <c r="L328" s="2">
        <v>6108</v>
      </c>
      <c r="M328" s="2">
        <f>Table1[[#This Row],[Cost_Price]]*Table1[[#This Row],[Quantity_Sold]]</f>
        <v>42756</v>
      </c>
      <c r="N328" s="2">
        <v>6975</v>
      </c>
      <c r="O328" s="5">
        <v>0</v>
      </c>
      <c r="P328" s="2">
        <v>48825</v>
      </c>
      <c r="Q328" s="2">
        <v>6069</v>
      </c>
      <c r="R328">
        <v>5</v>
      </c>
    </row>
    <row r="329" spans="1:18" x14ac:dyDescent="0.25">
      <c r="A329" t="s">
        <v>1222</v>
      </c>
      <c r="B329" s="1">
        <v>45293</v>
      </c>
      <c r="C329" t="s">
        <v>77</v>
      </c>
      <c r="D329" t="s">
        <v>78</v>
      </c>
      <c r="E329" t="s">
        <v>64</v>
      </c>
      <c r="F329" t="s">
        <v>1110</v>
      </c>
      <c r="G329" t="s">
        <v>44</v>
      </c>
      <c r="H329" t="s">
        <v>35</v>
      </c>
      <c r="I329" t="s">
        <v>103</v>
      </c>
      <c r="J329" t="s">
        <v>28</v>
      </c>
      <c r="K329">
        <v>5</v>
      </c>
      <c r="L329" s="2">
        <v>7432</v>
      </c>
      <c r="M329" s="2">
        <f>Table1[[#This Row],[Cost_Price]]*Table1[[#This Row],[Quantity_Sold]]</f>
        <v>37160</v>
      </c>
      <c r="N329" s="2">
        <v>9776</v>
      </c>
      <c r="O329" s="5">
        <v>0</v>
      </c>
      <c r="P329" s="2">
        <v>48880</v>
      </c>
      <c r="Q329" s="2">
        <v>11720</v>
      </c>
      <c r="R329">
        <v>5</v>
      </c>
    </row>
    <row r="330" spans="1:18" x14ac:dyDescent="0.25">
      <c r="A330" t="s">
        <v>1223</v>
      </c>
      <c r="B330" s="1">
        <v>45641</v>
      </c>
      <c r="C330" t="s">
        <v>87</v>
      </c>
      <c r="D330" t="s">
        <v>88</v>
      </c>
      <c r="E330" t="s">
        <v>33</v>
      </c>
      <c r="F330" t="s">
        <v>98</v>
      </c>
      <c r="G330" t="s">
        <v>44</v>
      </c>
      <c r="H330" t="s">
        <v>26</v>
      </c>
      <c r="I330" t="s">
        <v>27</v>
      </c>
      <c r="J330" t="s">
        <v>28</v>
      </c>
      <c r="K330">
        <v>1</v>
      </c>
      <c r="L330" s="2">
        <v>7167</v>
      </c>
      <c r="M330" s="2">
        <f>Table1[[#This Row],[Cost_Price]]*Table1[[#This Row],[Quantity_Sold]]</f>
        <v>7167</v>
      </c>
      <c r="N330" s="2">
        <v>9784</v>
      </c>
      <c r="O330" s="5">
        <v>0.05</v>
      </c>
      <c r="P330" s="2">
        <v>9784</v>
      </c>
      <c r="Q330" s="2">
        <v>2617</v>
      </c>
      <c r="R330">
        <v>5</v>
      </c>
    </row>
    <row r="331" spans="1:18" x14ac:dyDescent="0.25">
      <c r="A331" t="s">
        <v>1224</v>
      </c>
      <c r="B331" s="1">
        <v>45319</v>
      </c>
      <c r="C331" t="s">
        <v>216</v>
      </c>
      <c r="D331" t="s">
        <v>217</v>
      </c>
      <c r="E331" t="s">
        <v>33</v>
      </c>
      <c r="F331" t="s">
        <v>92</v>
      </c>
      <c r="G331" t="s">
        <v>25</v>
      </c>
      <c r="H331" t="s">
        <v>35</v>
      </c>
      <c r="I331" t="s">
        <v>103</v>
      </c>
      <c r="J331" t="s">
        <v>28</v>
      </c>
      <c r="K331">
        <v>4</v>
      </c>
      <c r="L331" s="2">
        <v>1957</v>
      </c>
      <c r="M331" s="2">
        <f>Table1[[#This Row],[Cost_Price]]*Table1[[#This Row],[Quantity_Sold]]</f>
        <v>7828</v>
      </c>
      <c r="N331" s="2">
        <v>5508</v>
      </c>
      <c r="O331" s="5">
        <v>0.04</v>
      </c>
      <c r="P331" s="2">
        <v>22032</v>
      </c>
      <c r="Q331" s="2">
        <v>14204</v>
      </c>
      <c r="R331">
        <v>5</v>
      </c>
    </row>
    <row r="332" spans="1:18" x14ac:dyDescent="0.25">
      <c r="A332" t="s">
        <v>1225</v>
      </c>
      <c r="B332" s="1">
        <v>45490</v>
      </c>
      <c r="C332" t="s">
        <v>77</v>
      </c>
      <c r="D332" t="s">
        <v>78</v>
      </c>
      <c r="E332" t="s">
        <v>64</v>
      </c>
      <c r="F332" t="s">
        <v>23</v>
      </c>
      <c r="G332" t="s">
        <v>44</v>
      </c>
      <c r="H332" t="s">
        <v>26</v>
      </c>
      <c r="I332" t="s">
        <v>27</v>
      </c>
      <c r="J332" t="s">
        <v>59</v>
      </c>
      <c r="K332">
        <v>5</v>
      </c>
      <c r="L332" s="2">
        <v>6992</v>
      </c>
      <c r="M332" s="2">
        <f>Table1[[#This Row],[Cost_Price]]*Table1[[#This Row],[Quantity_Sold]]</f>
        <v>34960</v>
      </c>
      <c r="N332" s="2">
        <v>9046</v>
      </c>
      <c r="O332" s="5">
        <v>0.1</v>
      </c>
      <c r="P332" s="2">
        <v>45230</v>
      </c>
      <c r="Q332" s="2">
        <v>10270</v>
      </c>
      <c r="R332">
        <v>2</v>
      </c>
    </row>
    <row r="333" spans="1:18" x14ac:dyDescent="0.25">
      <c r="A333" t="s">
        <v>1226</v>
      </c>
      <c r="B333" s="1">
        <v>45679</v>
      </c>
      <c r="C333" t="s">
        <v>31</v>
      </c>
      <c r="D333" t="s">
        <v>32</v>
      </c>
      <c r="E333" t="s">
        <v>33</v>
      </c>
      <c r="F333" t="s">
        <v>98</v>
      </c>
      <c r="G333" t="s">
        <v>44</v>
      </c>
      <c r="H333" t="s">
        <v>35</v>
      </c>
      <c r="I333" t="s">
        <v>103</v>
      </c>
      <c r="J333" t="s">
        <v>59</v>
      </c>
      <c r="K333">
        <v>4</v>
      </c>
      <c r="L333" s="2">
        <v>12277</v>
      </c>
      <c r="M333" s="2">
        <f>Table1[[#This Row],[Cost_Price]]*Table1[[#This Row],[Quantity_Sold]]</f>
        <v>49108</v>
      </c>
      <c r="N333" s="2">
        <v>18526</v>
      </c>
      <c r="O333" s="5">
        <v>0.1</v>
      </c>
      <c r="P333" s="2">
        <v>74104</v>
      </c>
      <c r="Q333" s="2">
        <v>24996</v>
      </c>
      <c r="R333">
        <v>4</v>
      </c>
    </row>
    <row r="334" spans="1:18" x14ac:dyDescent="0.25">
      <c r="A334" t="s">
        <v>1227</v>
      </c>
      <c r="B334" s="1">
        <v>45554</v>
      </c>
      <c r="C334" t="s">
        <v>49</v>
      </c>
      <c r="D334" t="s">
        <v>83</v>
      </c>
      <c r="E334" t="s">
        <v>51</v>
      </c>
      <c r="F334" t="s">
        <v>42</v>
      </c>
      <c r="G334" t="s">
        <v>44</v>
      </c>
      <c r="H334" t="s">
        <v>26</v>
      </c>
      <c r="I334" t="s">
        <v>103</v>
      </c>
      <c r="J334" t="s">
        <v>28</v>
      </c>
      <c r="K334">
        <v>4</v>
      </c>
      <c r="L334" s="2">
        <v>11328</v>
      </c>
      <c r="M334" s="2">
        <f>Table1[[#This Row],[Cost_Price]]*Table1[[#This Row],[Quantity_Sold]]</f>
        <v>45312</v>
      </c>
      <c r="N334" s="2">
        <v>18446</v>
      </c>
      <c r="O334" s="5">
        <v>0.1</v>
      </c>
      <c r="P334" s="2">
        <v>73784</v>
      </c>
      <c r="Q334" s="2">
        <v>28472</v>
      </c>
      <c r="R334">
        <v>5</v>
      </c>
    </row>
    <row r="335" spans="1:18" x14ac:dyDescent="0.25">
      <c r="A335" t="s">
        <v>1228</v>
      </c>
      <c r="B335" s="1">
        <v>45337</v>
      </c>
      <c r="C335" t="s">
        <v>106</v>
      </c>
      <c r="D335" t="s">
        <v>107</v>
      </c>
      <c r="E335" t="s">
        <v>41</v>
      </c>
      <c r="F335" t="s">
        <v>73</v>
      </c>
      <c r="G335" t="s">
        <v>44</v>
      </c>
      <c r="H335" t="s">
        <v>45</v>
      </c>
      <c r="I335" t="s">
        <v>103</v>
      </c>
      <c r="J335" t="s">
        <v>36</v>
      </c>
      <c r="K335">
        <v>1</v>
      </c>
      <c r="L335" s="2">
        <v>7989</v>
      </c>
      <c r="M335" s="2">
        <f>Table1[[#This Row],[Cost_Price]]*Table1[[#This Row],[Quantity_Sold]]</f>
        <v>7989</v>
      </c>
      <c r="N335" s="2">
        <v>14805</v>
      </c>
      <c r="O335" s="5">
        <v>0.02</v>
      </c>
      <c r="P335" s="2">
        <v>14805</v>
      </c>
      <c r="Q335" s="2">
        <v>6816</v>
      </c>
      <c r="R335" s="3" t="s">
        <v>1110</v>
      </c>
    </row>
    <row r="336" spans="1:18" x14ac:dyDescent="0.25">
      <c r="A336" t="s">
        <v>1229</v>
      </c>
      <c r="B336" s="1">
        <v>45618</v>
      </c>
      <c r="C336" t="s">
        <v>278</v>
      </c>
      <c r="D336" t="s">
        <v>279</v>
      </c>
      <c r="E336" t="s">
        <v>64</v>
      </c>
      <c r="F336" t="s">
        <v>98</v>
      </c>
      <c r="G336" t="s">
        <v>25</v>
      </c>
      <c r="H336" t="s">
        <v>35</v>
      </c>
      <c r="I336" t="s">
        <v>103</v>
      </c>
      <c r="J336" t="s">
        <v>28</v>
      </c>
      <c r="K336">
        <v>2</v>
      </c>
      <c r="L336" s="2">
        <v>7983</v>
      </c>
      <c r="M336" s="2">
        <f>Table1[[#This Row],[Cost_Price]]*Table1[[#This Row],[Quantity_Sold]]</f>
        <v>15966</v>
      </c>
      <c r="N336" s="2">
        <v>12381</v>
      </c>
      <c r="O336" s="5">
        <v>0.1</v>
      </c>
      <c r="P336" s="2">
        <v>24762</v>
      </c>
      <c r="Q336" s="2">
        <v>8796</v>
      </c>
      <c r="R336">
        <v>1</v>
      </c>
    </row>
    <row r="337" spans="1:18" x14ac:dyDescent="0.25">
      <c r="A337" t="s">
        <v>1230</v>
      </c>
      <c r="B337" s="1">
        <v>45688</v>
      </c>
      <c r="C337" t="s">
        <v>39</v>
      </c>
      <c r="D337" t="s">
        <v>1108</v>
      </c>
      <c r="E337" t="s">
        <v>41</v>
      </c>
      <c r="F337" t="s">
        <v>73</v>
      </c>
      <c r="G337" t="s">
        <v>25</v>
      </c>
      <c r="H337" t="s">
        <v>45</v>
      </c>
      <c r="I337" t="s">
        <v>103</v>
      </c>
      <c r="J337" t="s">
        <v>36</v>
      </c>
      <c r="K337">
        <v>5</v>
      </c>
      <c r="L337" s="2">
        <v>11808</v>
      </c>
      <c r="M337" s="2">
        <f>Table1[[#This Row],[Cost_Price]]*Table1[[#This Row],[Quantity_Sold]]</f>
        <v>59040</v>
      </c>
      <c r="N337" s="2">
        <v>14090</v>
      </c>
      <c r="O337" s="5">
        <v>0.02</v>
      </c>
      <c r="P337" s="2">
        <v>70450</v>
      </c>
      <c r="Q337" s="2">
        <v>11410</v>
      </c>
      <c r="R337">
        <v>1</v>
      </c>
    </row>
    <row r="338" spans="1:18" x14ac:dyDescent="0.25">
      <c r="A338" t="s">
        <v>1231</v>
      </c>
      <c r="B338" s="1">
        <v>45391</v>
      </c>
      <c r="C338" t="s">
        <v>141</v>
      </c>
      <c r="D338" t="s">
        <v>142</v>
      </c>
      <c r="E338" t="s">
        <v>51</v>
      </c>
      <c r="F338" t="s">
        <v>92</v>
      </c>
      <c r="G338" t="s">
        <v>44</v>
      </c>
      <c r="H338" t="s">
        <v>35</v>
      </c>
      <c r="I338" t="s">
        <v>103</v>
      </c>
      <c r="J338" t="s">
        <v>28</v>
      </c>
      <c r="K338">
        <v>5</v>
      </c>
      <c r="L338" s="2">
        <v>7277</v>
      </c>
      <c r="M338" s="2">
        <f>Table1[[#This Row],[Cost_Price]]*Table1[[#This Row],[Quantity_Sold]]</f>
        <v>36385</v>
      </c>
      <c r="N338" s="2">
        <v>9584</v>
      </c>
      <c r="O338" s="5">
        <v>0.04</v>
      </c>
      <c r="P338" s="2">
        <v>47920</v>
      </c>
      <c r="Q338" s="2">
        <v>11535</v>
      </c>
      <c r="R338">
        <v>1</v>
      </c>
    </row>
    <row r="339" spans="1:18" x14ac:dyDescent="0.25">
      <c r="A339" t="s">
        <v>1232</v>
      </c>
      <c r="B339" s="1">
        <v>45516</v>
      </c>
      <c r="C339" t="s">
        <v>131</v>
      </c>
      <c r="D339" t="s">
        <v>132</v>
      </c>
      <c r="E339" t="s">
        <v>64</v>
      </c>
      <c r="F339" t="s">
        <v>98</v>
      </c>
      <c r="G339" t="s">
        <v>25</v>
      </c>
      <c r="H339" t="s">
        <v>45</v>
      </c>
      <c r="I339" t="s">
        <v>58</v>
      </c>
      <c r="J339" t="s">
        <v>36</v>
      </c>
      <c r="K339">
        <v>1</v>
      </c>
      <c r="L339" s="2">
        <v>5287</v>
      </c>
      <c r="M339" s="2">
        <f>Table1[[#This Row],[Cost_Price]]*Table1[[#This Row],[Quantity_Sold]]</f>
        <v>5287</v>
      </c>
      <c r="N339" s="2">
        <v>11964</v>
      </c>
      <c r="O339" s="5">
        <v>0.04</v>
      </c>
      <c r="P339" s="2">
        <v>11964</v>
      </c>
      <c r="Q339" s="2">
        <v>6677</v>
      </c>
      <c r="R339">
        <v>2</v>
      </c>
    </row>
    <row r="340" spans="1:18" x14ac:dyDescent="0.25">
      <c r="A340" t="s">
        <v>1233</v>
      </c>
      <c r="B340" s="1">
        <v>45476</v>
      </c>
      <c r="C340" t="s">
        <v>31</v>
      </c>
      <c r="D340" t="s">
        <v>32</v>
      </c>
      <c r="E340" t="s">
        <v>33</v>
      </c>
      <c r="F340" t="s">
        <v>92</v>
      </c>
      <c r="G340" t="s">
        <v>44</v>
      </c>
      <c r="H340" t="s">
        <v>26</v>
      </c>
      <c r="I340" t="s">
        <v>103</v>
      </c>
      <c r="J340" t="s">
        <v>54</v>
      </c>
      <c r="K340">
        <v>7</v>
      </c>
      <c r="L340" s="2">
        <v>6176</v>
      </c>
      <c r="M340" s="2">
        <f>Table1[[#This Row],[Cost_Price]]*Table1[[#This Row],[Quantity_Sold]]</f>
        <v>43232</v>
      </c>
      <c r="N340" s="2">
        <v>13042</v>
      </c>
      <c r="O340" s="5">
        <v>0.02</v>
      </c>
      <c r="P340" s="2">
        <v>91294</v>
      </c>
      <c r="Q340" s="2">
        <v>48062</v>
      </c>
      <c r="R340">
        <v>4</v>
      </c>
    </row>
    <row r="341" spans="1:18" x14ac:dyDescent="0.25">
      <c r="A341" t="s">
        <v>1234</v>
      </c>
      <c r="B341" s="1">
        <v>45568</v>
      </c>
      <c r="C341" t="s">
        <v>82</v>
      </c>
      <c r="D341" t="s">
        <v>83</v>
      </c>
      <c r="E341" t="s">
        <v>51</v>
      </c>
      <c r="F341" t="s">
        <v>1110</v>
      </c>
      <c r="G341" t="s">
        <v>25</v>
      </c>
      <c r="H341" t="s">
        <v>45</v>
      </c>
      <c r="I341" t="s">
        <v>103</v>
      </c>
      <c r="J341" t="s">
        <v>36</v>
      </c>
      <c r="K341">
        <v>4</v>
      </c>
      <c r="L341" s="2">
        <v>13730</v>
      </c>
      <c r="M341" s="2">
        <f>Table1[[#This Row],[Cost_Price]]*Table1[[#This Row],[Quantity_Sold]]</f>
        <v>54920</v>
      </c>
      <c r="N341" s="2">
        <v>18544</v>
      </c>
      <c r="O341" s="5">
        <v>0</v>
      </c>
      <c r="P341" s="2">
        <v>74176</v>
      </c>
      <c r="Q341" s="2">
        <v>19256</v>
      </c>
      <c r="R341">
        <v>5</v>
      </c>
    </row>
    <row r="342" spans="1:18" x14ac:dyDescent="0.25">
      <c r="A342" t="s">
        <v>1235</v>
      </c>
      <c r="B342" s="1">
        <v>45426</v>
      </c>
      <c r="C342" t="s">
        <v>77</v>
      </c>
      <c r="D342" t="s">
        <v>78</v>
      </c>
      <c r="E342" t="s">
        <v>64</v>
      </c>
      <c r="F342" t="s">
        <v>98</v>
      </c>
      <c r="G342" t="s">
        <v>44</v>
      </c>
      <c r="H342" t="s">
        <v>26</v>
      </c>
      <c r="I342" t="s">
        <v>120</v>
      </c>
      <c r="J342" t="s">
        <v>36</v>
      </c>
      <c r="K342">
        <v>6</v>
      </c>
      <c r="L342" s="2">
        <v>7114</v>
      </c>
      <c r="M342" s="2">
        <f>Table1[[#This Row],[Cost_Price]]*Table1[[#This Row],[Quantity_Sold]]</f>
        <v>42684</v>
      </c>
      <c r="N342" s="2">
        <v>11929</v>
      </c>
      <c r="O342" s="5">
        <v>0.05</v>
      </c>
      <c r="P342" s="2">
        <v>71574</v>
      </c>
      <c r="Q342" s="2">
        <v>28890</v>
      </c>
      <c r="R342">
        <v>4</v>
      </c>
    </row>
    <row r="343" spans="1:18" x14ac:dyDescent="0.25">
      <c r="A343" t="s">
        <v>1236</v>
      </c>
      <c r="B343" s="1">
        <v>45305</v>
      </c>
      <c r="C343" t="s">
        <v>141</v>
      </c>
      <c r="D343" t="s">
        <v>142</v>
      </c>
      <c r="E343" t="s">
        <v>51</v>
      </c>
      <c r="F343" t="s">
        <v>92</v>
      </c>
      <c r="G343" t="s">
        <v>44</v>
      </c>
      <c r="H343" t="s">
        <v>35</v>
      </c>
      <c r="I343" t="s">
        <v>103</v>
      </c>
      <c r="J343" t="s">
        <v>28</v>
      </c>
      <c r="K343">
        <v>7</v>
      </c>
      <c r="L343" s="2">
        <v>14671</v>
      </c>
      <c r="M343" s="2">
        <f>Table1[[#This Row],[Cost_Price]]*Table1[[#This Row],[Quantity_Sold]]</f>
        <v>102697</v>
      </c>
      <c r="N343" s="2">
        <v>15632</v>
      </c>
      <c r="O343" s="5">
        <v>0.05</v>
      </c>
      <c r="P343" s="2">
        <v>109424</v>
      </c>
      <c r="Q343" s="2">
        <v>6727</v>
      </c>
      <c r="R343">
        <v>3</v>
      </c>
    </row>
    <row r="344" spans="1:18" x14ac:dyDescent="0.25">
      <c r="A344" t="s">
        <v>1237</v>
      </c>
      <c r="B344" s="1">
        <v>45599</v>
      </c>
      <c r="C344" t="s">
        <v>141</v>
      </c>
      <c r="D344" t="s">
        <v>142</v>
      </c>
      <c r="E344" t="s">
        <v>51</v>
      </c>
      <c r="F344" t="s">
        <v>98</v>
      </c>
      <c r="G344" t="s">
        <v>44</v>
      </c>
      <c r="H344" t="s">
        <v>26</v>
      </c>
      <c r="I344" t="s">
        <v>27</v>
      </c>
      <c r="J344" t="s">
        <v>59</v>
      </c>
      <c r="K344">
        <v>6</v>
      </c>
      <c r="L344" s="2">
        <v>1405</v>
      </c>
      <c r="M344" s="2">
        <f>Table1[[#This Row],[Cost_Price]]*Table1[[#This Row],[Quantity_Sold]]</f>
        <v>8430</v>
      </c>
      <c r="N344" s="2">
        <v>4307</v>
      </c>
      <c r="O344" s="5">
        <v>0.02</v>
      </c>
      <c r="P344" s="2">
        <v>25842</v>
      </c>
      <c r="Q344" s="2">
        <v>17412</v>
      </c>
      <c r="R344">
        <v>4</v>
      </c>
    </row>
    <row r="345" spans="1:18" x14ac:dyDescent="0.25">
      <c r="A345" t="s">
        <v>1238</v>
      </c>
      <c r="B345" s="1">
        <v>45671</v>
      </c>
      <c r="C345" t="s">
        <v>106</v>
      </c>
      <c r="D345" t="s">
        <v>107</v>
      </c>
      <c r="E345" t="s">
        <v>41</v>
      </c>
      <c r="F345" t="s">
        <v>23</v>
      </c>
      <c r="G345" t="s">
        <v>25</v>
      </c>
      <c r="H345" t="s">
        <v>35</v>
      </c>
      <c r="I345" t="s">
        <v>120</v>
      </c>
      <c r="J345" t="s">
        <v>54</v>
      </c>
      <c r="K345">
        <v>8</v>
      </c>
      <c r="L345" s="2">
        <v>1731</v>
      </c>
      <c r="M345" s="2">
        <f>Table1[[#This Row],[Cost_Price]]*Table1[[#This Row],[Quantity_Sold]]</f>
        <v>13848</v>
      </c>
      <c r="N345" s="2">
        <v>9713</v>
      </c>
      <c r="O345" s="5">
        <v>0.04</v>
      </c>
      <c r="P345" s="2">
        <v>77704</v>
      </c>
      <c r="Q345" s="2">
        <v>63856</v>
      </c>
      <c r="R345">
        <v>3</v>
      </c>
    </row>
    <row r="346" spans="1:18" x14ac:dyDescent="0.25">
      <c r="A346" t="s">
        <v>1239</v>
      </c>
      <c r="B346" s="1">
        <v>45455</v>
      </c>
      <c r="C346" t="s">
        <v>141</v>
      </c>
      <c r="D346" t="s">
        <v>142</v>
      </c>
      <c r="E346" t="s">
        <v>51</v>
      </c>
      <c r="F346" t="s">
        <v>73</v>
      </c>
      <c r="G346" t="s">
        <v>25</v>
      </c>
      <c r="H346" t="s">
        <v>26</v>
      </c>
      <c r="I346" t="s">
        <v>103</v>
      </c>
      <c r="J346" t="s">
        <v>59</v>
      </c>
      <c r="K346">
        <v>4</v>
      </c>
      <c r="L346" s="2">
        <v>13604</v>
      </c>
      <c r="M346" s="2">
        <f>Table1[[#This Row],[Cost_Price]]*Table1[[#This Row],[Quantity_Sold]]</f>
        <v>54416</v>
      </c>
      <c r="N346" s="2">
        <v>20044</v>
      </c>
      <c r="O346" s="5">
        <v>0.05</v>
      </c>
      <c r="P346" s="2">
        <v>80176</v>
      </c>
      <c r="Q346" s="2">
        <v>25760</v>
      </c>
      <c r="R346">
        <v>2</v>
      </c>
    </row>
    <row r="347" spans="1:18" x14ac:dyDescent="0.25">
      <c r="A347" t="s">
        <v>1240</v>
      </c>
      <c r="B347" s="1">
        <v>45500</v>
      </c>
      <c r="C347" t="s">
        <v>149</v>
      </c>
      <c r="D347" t="s">
        <v>150</v>
      </c>
      <c r="E347" t="s">
        <v>51</v>
      </c>
      <c r="F347" t="s">
        <v>1110</v>
      </c>
      <c r="G347" t="s">
        <v>25</v>
      </c>
      <c r="H347" t="s">
        <v>35</v>
      </c>
      <c r="I347" t="s">
        <v>103</v>
      </c>
      <c r="J347" t="s">
        <v>28</v>
      </c>
      <c r="K347">
        <v>5</v>
      </c>
      <c r="L347" s="2">
        <v>14734</v>
      </c>
      <c r="M347" s="2">
        <f>Table1[[#This Row],[Cost_Price]]*Table1[[#This Row],[Quantity_Sold]]</f>
        <v>73670</v>
      </c>
      <c r="N347" s="2">
        <v>15901</v>
      </c>
      <c r="O347" s="5">
        <v>0.1</v>
      </c>
      <c r="P347" s="2">
        <v>79505</v>
      </c>
      <c r="Q347" s="2">
        <v>5835</v>
      </c>
      <c r="R347">
        <v>5</v>
      </c>
    </row>
    <row r="348" spans="1:18" x14ac:dyDescent="0.25">
      <c r="A348" t="s">
        <v>1241</v>
      </c>
      <c r="B348" s="1">
        <v>45433</v>
      </c>
      <c r="C348" t="s">
        <v>278</v>
      </c>
      <c r="D348" t="s">
        <v>279</v>
      </c>
      <c r="E348" t="s">
        <v>64</v>
      </c>
      <c r="F348" t="s">
        <v>98</v>
      </c>
      <c r="G348" t="s">
        <v>25</v>
      </c>
      <c r="H348" t="s">
        <v>26</v>
      </c>
      <c r="I348" t="s">
        <v>27</v>
      </c>
      <c r="J348" t="s">
        <v>36</v>
      </c>
      <c r="K348">
        <v>4</v>
      </c>
      <c r="L348" s="2">
        <v>3536</v>
      </c>
      <c r="M348" s="2">
        <f>Table1[[#This Row],[Cost_Price]]*Table1[[#This Row],[Quantity_Sold]]</f>
        <v>14144</v>
      </c>
      <c r="N348" s="2">
        <v>4291</v>
      </c>
      <c r="O348" s="5">
        <v>0</v>
      </c>
      <c r="P348" s="2">
        <v>17164</v>
      </c>
      <c r="Q348" s="2">
        <v>3020</v>
      </c>
      <c r="R348">
        <v>4</v>
      </c>
    </row>
    <row r="349" spans="1:18" x14ac:dyDescent="0.25">
      <c r="A349" t="s">
        <v>1242</v>
      </c>
      <c r="B349" s="1">
        <v>45338</v>
      </c>
      <c r="C349" t="s">
        <v>149</v>
      </c>
      <c r="D349" t="s">
        <v>150</v>
      </c>
      <c r="E349" t="s">
        <v>51</v>
      </c>
      <c r="F349" t="s">
        <v>98</v>
      </c>
      <c r="G349" t="s">
        <v>44</v>
      </c>
      <c r="H349" t="s">
        <v>45</v>
      </c>
      <c r="I349" t="s">
        <v>58</v>
      </c>
      <c r="J349" t="s">
        <v>54</v>
      </c>
      <c r="K349">
        <v>4</v>
      </c>
      <c r="L349" s="2">
        <v>2204</v>
      </c>
      <c r="M349" s="2">
        <f>Table1[[#This Row],[Cost_Price]]*Table1[[#This Row],[Quantity_Sold]]</f>
        <v>8816</v>
      </c>
      <c r="N349" s="2">
        <v>9137</v>
      </c>
      <c r="O349" s="5">
        <v>0.05</v>
      </c>
      <c r="P349" s="2">
        <v>36548</v>
      </c>
      <c r="Q349" s="2">
        <v>27732</v>
      </c>
      <c r="R349">
        <v>4</v>
      </c>
    </row>
    <row r="350" spans="1:18" x14ac:dyDescent="0.25">
      <c r="A350" t="s">
        <v>1243</v>
      </c>
      <c r="B350" s="1">
        <v>45785</v>
      </c>
      <c r="C350" t="s">
        <v>241</v>
      </c>
      <c r="D350" t="s">
        <v>1109</v>
      </c>
      <c r="E350" t="s">
        <v>22</v>
      </c>
      <c r="F350" t="s">
        <v>98</v>
      </c>
      <c r="G350" t="s">
        <v>44</v>
      </c>
      <c r="H350" t="s">
        <v>35</v>
      </c>
      <c r="I350" t="s">
        <v>120</v>
      </c>
      <c r="J350" t="s">
        <v>59</v>
      </c>
      <c r="K350">
        <v>2</v>
      </c>
      <c r="L350" s="2">
        <v>13906</v>
      </c>
      <c r="M350" s="2">
        <f>Table1[[#This Row],[Cost_Price]]*Table1[[#This Row],[Quantity_Sold]]</f>
        <v>27812</v>
      </c>
      <c r="N350" s="2">
        <v>21422</v>
      </c>
      <c r="O350" s="5">
        <v>0.05</v>
      </c>
      <c r="P350" s="2">
        <v>42844</v>
      </c>
      <c r="Q350" s="2">
        <v>15032</v>
      </c>
      <c r="R350">
        <v>5</v>
      </c>
    </row>
    <row r="351" spans="1:18" x14ac:dyDescent="0.25">
      <c r="A351" t="s">
        <v>1244</v>
      </c>
      <c r="B351" s="1">
        <v>45585</v>
      </c>
      <c r="C351" t="s">
        <v>71</v>
      </c>
      <c r="D351" t="s">
        <v>72</v>
      </c>
      <c r="E351" t="s">
        <v>64</v>
      </c>
      <c r="F351" t="s">
        <v>1110</v>
      </c>
      <c r="G351" t="s">
        <v>44</v>
      </c>
      <c r="H351" t="s">
        <v>26</v>
      </c>
      <c r="I351" t="s">
        <v>103</v>
      </c>
      <c r="J351" t="s">
        <v>59</v>
      </c>
      <c r="K351">
        <v>3</v>
      </c>
      <c r="L351" s="2">
        <v>13961</v>
      </c>
      <c r="M351" s="2">
        <f>Table1[[#This Row],[Cost_Price]]*Table1[[#This Row],[Quantity_Sold]]</f>
        <v>41883</v>
      </c>
      <c r="N351" s="2">
        <v>18557</v>
      </c>
      <c r="O351" s="5">
        <v>0.02</v>
      </c>
      <c r="P351" s="2">
        <v>55671</v>
      </c>
      <c r="Q351" s="2">
        <v>13788</v>
      </c>
      <c r="R351">
        <v>1</v>
      </c>
    </row>
    <row r="352" spans="1:18" x14ac:dyDescent="0.25">
      <c r="A352" t="s">
        <v>1245</v>
      </c>
      <c r="B352" s="1">
        <v>45712</v>
      </c>
      <c r="C352" t="s">
        <v>20</v>
      </c>
      <c r="D352" t="s">
        <v>1107</v>
      </c>
      <c r="E352" t="s">
        <v>22</v>
      </c>
      <c r="F352" t="s">
        <v>1110</v>
      </c>
      <c r="G352" t="s">
        <v>25</v>
      </c>
      <c r="H352" t="s">
        <v>26</v>
      </c>
      <c r="I352" t="s">
        <v>103</v>
      </c>
      <c r="J352" t="s">
        <v>59</v>
      </c>
      <c r="K352">
        <v>8</v>
      </c>
      <c r="L352" s="2">
        <v>2736</v>
      </c>
      <c r="M352" s="2">
        <f>Table1[[#This Row],[Cost_Price]]*Table1[[#This Row],[Quantity_Sold]]</f>
        <v>21888</v>
      </c>
      <c r="N352" s="2">
        <v>4348</v>
      </c>
      <c r="O352" s="5">
        <v>0.1</v>
      </c>
      <c r="P352" s="2">
        <v>34784</v>
      </c>
      <c r="Q352" s="2">
        <v>12896</v>
      </c>
      <c r="R352">
        <v>1</v>
      </c>
    </row>
    <row r="353" spans="1:18" x14ac:dyDescent="0.25">
      <c r="A353" t="s">
        <v>1246</v>
      </c>
      <c r="B353" s="1">
        <v>45354</v>
      </c>
      <c r="C353" t="s">
        <v>71</v>
      </c>
      <c r="D353" t="s">
        <v>72</v>
      </c>
      <c r="E353" t="s">
        <v>64</v>
      </c>
      <c r="F353" t="s">
        <v>73</v>
      </c>
      <c r="G353" t="s">
        <v>44</v>
      </c>
      <c r="H353" t="s">
        <v>35</v>
      </c>
      <c r="I353" t="s">
        <v>103</v>
      </c>
      <c r="J353" t="s">
        <v>36</v>
      </c>
      <c r="K353">
        <v>4</v>
      </c>
      <c r="L353" s="2">
        <v>1823</v>
      </c>
      <c r="M353" s="2">
        <f>Table1[[#This Row],[Cost_Price]]*Table1[[#This Row],[Quantity_Sold]]</f>
        <v>7292</v>
      </c>
      <c r="N353" s="2">
        <v>6392</v>
      </c>
      <c r="O353" s="5">
        <v>0.05</v>
      </c>
      <c r="P353" s="2">
        <v>25568</v>
      </c>
      <c r="Q353" s="2">
        <v>18276</v>
      </c>
      <c r="R353">
        <v>4</v>
      </c>
    </row>
    <row r="354" spans="1:18" x14ac:dyDescent="0.25">
      <c r="A354" t="s">
        <v>1247</v>
      </c>
      <c r="B354" s="1">
        <v>45640</v>
      </c>
      <c r="C354" t="s">
        <v>39</v>
      </c>
      <c r="D354" t="s">
        <v>1108</v>
      </c>
      <c r="E354" t="s">
        <v>41</v>
      </c>
      <c r="F354" t="s">
        <v>23</v>
      </c>
      <c r="G354" t="s">
        <v>44</v>
      </c>
      <c r="H354" t="s">
        <v>35</v>
      </c>
      <c r="I354" t="s">
        <v>27</v>
      </c>
      <c r="J354" t="s">
        <v>54</v>
      </c>
      <c r="K354">
        <v>7</v>
      </c>
      <c r="L354" s="2">
        <v>5362</v>
      </c>
      <c r="M354" s="2">
        <f>Table1[[#This Row],[Cost_Price]]*Table1[[#This Row],[Quantity_Sold]]</f>
        <v>37534</v>
      </c>
      <c r="N354" s="2">
        <v>8054</v>
      </c>
      <c r="O354" s="5">
        <v>0.02</v>
      </c>
      <c r="P354" s="2">
        <v>56378</v>
      </c>
      <c r="Q354" s="2">
        <v>18844</v>
      </c>
      <c r="R354">
        <v>1</v>
      </c>
    </row>
    <row r="355" spans="1:18" x14ac:dyDescent="0.25">
      <c r="A355" t="s">
        <v>1248</v>
      </c>
      <c r="B355" s="1">
        <v>45806</v>
      </c>
      <c r="C355" t="s">
        <v>141</v>
      </c>
      <c r="D355" t="s">
        <v>142</v>
      </c>
      <c r="E355" t="s">
        <v>51</v>
      </c>
      <c r="F355" t="s">
        <v>73</v>
      </c>
      <c r="G355" t="s">
        <v>44</v>
      </c>
      <c r="H355" t="s">
        <v>26</v>
      </c>
      <c r="I355" t="s">
        <v>103</v>
      </c>
      <c r="J355" t="s">
        <v>54</v>
      </c>
      <c r="K355">
        <v>7</v>
      </c>
      <c r="L355" s="2">
        <v>8249</v>
      </c>
      <c r="M355" s="2">
        <f>Table1[[#This Row],[Cost_Price]]*Table1[[#This Row],[Quantity_Sold]]</f>
        <v>57743</v>
      </c>
      <c r="N355" s="2">
        <v>15989</v>
      </c>
      <c r="O355" s="5">
        <v>0.05</v>
      </c>
      <c r="P355" s="2">
        <v>111923</v>
      </c>
      <c r="Q355" s="2">
        <v>54180</v>
      </c>
      <c r="R355">
        <v>1</v>
      </c>
    </row>
    <row r="356" spans="1:18" x14ac:dyDescent="0.25">
      <c r="A356" t="s">
        <v>1249</v>
      </c>
      <c r="B356" s="1">
        <v>45722</v>
      </c>
      <c r="C356" t="s">
        <v>62</v>
      </c>
      <c r="D356" t="s">
        <v>63</v>
      </c>
      <c r="E356" t="s">
        <v>64</v>
      </c>
      <c r="F356" t="s">
        <v>98</v>
      </c>
      <c r="G356" t="s">
        <v>25</v>
      </c>
      <c r="H356" t="s">
        <v>26</v>
      </c>
      <c r="I356" t="s">
        <v>120</v>
      </c>
      <c r="J356" t="s">
        <v>36</v>
      </c>
      <c r="K356">
        <v>6</v>
      </c>
      <c r="L356" s="2">
        <v>6534</v>
      </c>
      <c r="M356" s="2">
        <f>Table1[[#This Row],[Cost_Price]]*Table1[[#This Row],[Quantity_Sold]]</f>
        <v>39204</v>
      </c>
      <c r="N356" s="2">
        <v>12410</v>
      </c>
      <c r="O356" s="5">
        <v>0.1</v>
      </c>
      <c r="P356" s="2">
        <v>74460</v>
      </c>
      <c r="Q356" s="2">
        <v>35256</v>
      </c>
      <c r="R356">
        <v>5</v>
      </c>
    </row>
    <row r="357" spans="1:18" x14ac:dyDescent="0.25">
      <c r="A357" t="s">
        <v>1250</v>
      </c>
      <c r="B357" s="1">
        <v>45574</v>
      </c>
      <c r="C357" t="s">
        <v>31</v>
      </c>
      <c r="D357" t="s">
        <v>32</v>
      </c>
      <c r="E357" t="s">
        <v>33</v>
      </c>
      <c r="F357" t="s">
        <v>42</v>
      </c>
      <c r="G357" t="s">
        <v>25</v>
      </c>
      <c r="H357" t="s">
        <v>35</v>
      </c>
      <c r="I357" t="s">
        <v>103</v>
      </c>
      <c r="J357" t="s">
        <v>54</v>
      </c>
      <c r="K357">
        <v>5</v>
      </c>
      <c r="L357" s="2">
        <v>5329</v>
      </c>
      <c r="M357" s="2">
        <f>Table1[[#This Row],[Cost_Price]]*Table1[[#This Row],[Quantity_Sold]]</f>
        <v>26645</v>
      </c>
      <c r="N357" s="2">
        <v>7633</v>
      </c>
      <c r="O357" s="5">
        <v>0.1</v>
      </c>
      <c r="P357" s="2">
        <v>38165</v>
      </c>
      <c r="Q357" s="2">
        <v>11520</v>
      </c>
      <c r="R357">
        <v>1</v>
      </c>
    </row>
    <row r="358" spans="1:18" x14ac:dyDescent="0.25">
      <c r="A358" t="s">
        <v>1251</v>
      </c>
      <c r="B358" s="1">
        <v>45822</v>
      </c>
      <c r="C358" t="s">
        <v>117</v>
      </c>
      <c r="D358" t="s">
        <v>118</v>
      </c>
      <c r="E358" t="s">
        <v>41</v>
      </c>
      <c r="F358" t="s">
        <v>73</v>
      </c>
      <c r="G358" t="s">
        <v>25</v>
      </c>
      <c r="H358" t="s">
        <v>26</v>
      </c>
      <c r="I358" t="s">
        <v>103</v>
      </c>
      <c r="J358" t="s">
        <v>54</v>
      </c>
      <c r="K358">
        <v>3</v>
      </c>
      <c r="L358" s="2">
        <v>9507</v>
      </c>
      <c r="M358" s="2">
        <f>Table1[[#This Row],[Cost_Price]]*Table1[[#This Row],[Quantity_Sold]]</f>
        <v>28521</v>
      </c>
      <c r="N358" s="2">
        <v>13656</v>
      </c>
      <c r="O358" s="5">
        <v>0.1</v>
      </c>
      <c r="P358" s="2">
        <v>40968</v>
      </c>
      <c r="Q358" s="2">
        <v>12447</v>
      </c>
      <c r="R358">
        <v>4</v>
      </c>
    </row>
    <row r="359" spans="1:18" x14ac:dyDescent="0.25">
      <c r="A359" t="s">
        <v>1252</v>
      </c>
      <c r="B359" s="1">
        <v>45386</v>
      </c>
      <c r="C359" t="s">
        <v>20</v>
      </c>
      <c r="D359" t="s">
        <v>1107</v>
      </c>
      <c r="E359" t="s">
        <v>22</v>
      </c>
      <c r="F359" t="s">
        <v>98</v>
      </c>
      <c r="G359" t="s">
        <v>25</v>
      </c>
      <c r="H359" t="s">
        <v>26</v>
      </c>
      <c r="I359" t="s">
        <v>103</v>
      </c>
      <c r="J359" t="s">
        <v>59</v>
      </c>
      <c r="K359">
        <v>2</v>
      </c>
      <c r="L359" s="2">
        <v>13718</v>
      </c>
      <c r="M359" s="2">
        <f>Table1[[#This Row],[Cost_Price]]*Table1[[#This Row],[Quantity_Sold]]</f>
        <v>27436</v>
      </c>
      <c r="N359" s="2">
        <v>19416</v>
      </c>
      <c r="O359" s="5">
        <v>0.1</v>
      </c>
      <c r="P359" s="2">
        <v>38832</v>
      </c>
      <c r="Q359" s="2">
        <v>11396</v>
      </c>
      <c r="R359">
        <v>3</v>
      </c>
    </row>
    <row r="360" spans="1:18" x14ac:dyDescent="0.25">
      <c r="A360" t="s">
        <v>1253</v>
      </c>
      <c r="B360" s="1">
        <v>45826</v>
      </c>
      <c r="C360" t="s">
        <v>241</v>
      </c>
      <c r="D360" t="s">
        <v>1109</v>
      </c>
      <c r="E360" t="s">
        <v>22</v>
      </c>
      <c r="F360" t="s">
        <v>73</v>
      </c>
      <c r="G360" t="s">
        <v>25</v>
      </c>
      <c r="H360" t="s">
        <v>26</v>
      </c>
      <c r="I360" t="s">
        <v>103</v>
      </c>
      <c r="J360" t="s">
        <v>54</v>
      </c>
      <c r="K360">
        <v>1</v>
      </c>
      <c r="L360" s="2">
        <v>14494</v>
      </c>
      <c r="M360" s="2">
        <f>Table1[[#This Row],[Cost_Price]]*Table1[[#This Row],[Quantity_Sold]]</f>
        <v>14494</v>
      </c>
      <c r="N360" s="2">
        <v>15143</v>
      </c>
      <c r="O360" s="5">
        <v>0.1</v>
      </c>
      <c r="P360" s="2">
        <v>15143</v>
      </c>
      <c r="Q360" s="2">
        <v>649</v>
      </c>
      <c r="R360">
        <v>1</v>
      </c>
    </row>
    <row r="361" spans="1:18" x14ac:dyDescent="0.25">
      <c r="A361" t="s">
        <v>1254</v>
      </c>
      <c r="B361" s="1">
        <v>45364</v>
      </c>
      <c r="C361" t="s">
        <v>82</v>
      </c>
      <c r="D361" t="s">
        <v>83</v>
      </c>
      <c r="E361" t="s">
        <v>51</v>
      </c>
      <c r="F361" t="s">
        <v>23</v>
      </c>
      <c r="G361" t="s">
        <v>25</v>
      </c>
      <c r="H361" t="s">
        <v>26</v>
      </c>
      <c r="I361" t="s">
        <v>27</v>
      </c>
      <c r="J361" t="s">
        <v>59</v>
      </c>
      <c r="K361">
        <v>2</v>
      </c>
      <c r="L361" s="2">
        <v>2779</v>
      </c>
      <c r="M361" s="2">
        <f>Table1[[#This Row],[Cost_Price]]*Table1[[#This Row],[Quantity_Sold]]</f>
        <v>5558</v>
      </c>
      <c r="N361" s="2">
        <v>10119</v>
      </c>
      <c r="O361" s="5">
        <v>0.02</v>
      </c>
      <c r="P361" s="2">
        <v>20238</v>
      </c>
      <c r="Q361" s="2">
        <v>14680</v>
      </c>
      <c r="R361" s="3" t="s">
        <v>1110</v>
      </c>
    </row>
    <row r="362" spans="1:18" x14ac:dyDescent="0.25">
      <c r="A362" t="s">
        <v>1255</v>
      </c>
      <c r="B362" s="1">
        <v>45320</v>
      </c>
      <c r="C362" t="s">
        <v>141</v>
      </c>
      <c r="D362" t="s">
        <v>142</v>
      </c>
      <c r="E362" t="s">
        <v>51</v>
      </c>
      <c r="F362" t="s">
        <v>73</v>
      </c>
      <c r="G362" t="s">
        <v>25</v>
      </c>
      <c r="H362" t="s">
        <v>35</v>
      </c>
      <c r="I362" t="s">
        <v>103</v>
      </c>
      <c r="J362" t="s">
        <v>54</v>
      </c>
      <c r="K362">
        <v>3</v>
      </c>
      <c r="L362" s="2">
        <v>1749</v>
      </c>
      <c r="M362" s="2">
        <f>Table1[[#This Row],[Cost_Price]]*Table1[[#This Row],[Quantity_Sold]]</f>
        <v>5247</v>
      </c>
      <c r="N362" s="2">
        <v>5698</v>
      </c>
      <c r="O362" s="5">
        <v>0.1</v>
      </c>
      <c r="P362" s="2">
        <v>17094</v>
      </c>
      <c r="Q362" s="2">
        <v>11847</v>
      </c>
      <c r="R362">
        <v>3</v>
      </c>
    </row>
    <row r="363" spans="1:18" x14ac:dyDescent="0.25">
      <c r="A363" t="s">
        <v>1256</v>
      </c>
      <c r="B363" s="1">
        <v>45722</v>
      </c>
      <c r="C363" t="s">
        <v>82</v>
      </c>
      <c r="D363" t="s">
        <v>83</v>
      </c>
      <c r="E363" t="s">
        <v>51</v>
      </c>
      <c r="F363" t="s">
        <v>1110</v>
      </c>
      <c r="G363" t="s">
        <v>44</v>
      </c>
      <c r="H363" t="s">
        <v>35</v>
      </c>
      <c r="I363" t="s">
        <v>27</v>
      </c>
      <c r="J363" t="s">
        <v>54</v>
      </c>
      <c r="K363">
        <v>7</v>
      </c>
      <c r="L363" s="2">
        <v>14032</v>
      </c>
      <c r="M363" s="2">
        <f>Table1[[#This Row],[Cost_Price]]*Table1[[#This Row],[Quantity_Sold]]</f>
        <v>98224</v>
      </c>
      <c r="N363" s="2">
        <v>20558</v>
      </c>
      <c r="O363" s="5">
        <v>0.02</v>
      </c>
      <c r="P363" s="2">
        <v>143906</v>
      </c>
      <c r="Q363" s="2">
        <v>45682</v>
      </c>
      <c r="R363">
        <v>2</v>
      </c>
    </row>
    <row r="364" spans="1:18" x14ac:dyDescent="0.25">
      <c r="A364" t="s">
        <v>1257</v>
      </c>
      <c r="B364" s="1">
        <v>45771</v>
      </c>
      <c r="C364" t="s">
        <v>216</v>
      </c>
      <c r="D364" t="s">
        <v>217</v>
      </c>
      <c r="E364" t="s">
        <v>33</v>
      </c>
      <c r="F364" t="s">
        <v>98</v>
      </c>
      <c r="G364" t="s">
        <v>44</v>
      </c>
      <c r="H364" t="s">
        <v>45</v>
      </c>
      <c r="I364" t="s">
        <v>27</v>
      </c>
      <c r="J364" t="s">
        <v>36</v>
      </c>
      <c r="K364">
        <v>1</v>
      </c>
      <c r="L364" s="2">
        <v>2280</v>
      </c>
      <c r="M364" s="2">
        <f>Table1[[#This Row],[Cost_Price]]*Table1[[#This Row],[Quantity_Sold]]</f>
        <v>2280</v>
      </c>
      <c r="N364" s="2">
        <v>3480</v>
      </c>
      <c r="O364" s="5">
        <v>0.05</v>
      </c>
      <c r="P364" s="2">
        <v>3480</v>
      </c>
      <c r="Q364" s="2">
        <v>1200</v>
      </c>
      <c r="R364" s="3" t="s">
        <v>1110</v>
      </c>
    </row>
    <row r="365" spans="1:18" x14ac:dyDescent="0.25">
      <c r="A365" t="s">
        <v>1258</v>
      </c>
      <c r="B365" s="1">
        <v>45388</v>
      </c>
      <c r="C365" t="s">
        <v>149</v>
      </c>
      <c r="D365" t="s">
        <v>150</v>
      </c>
      <c r="E365" t="s">
        <v>51</v>
      </c>
      <c r="F365" t="s">
        <v>1110</v>
      </c>
      <c r="G365" t="s">
        <v>25</v>
      </c>
      <c r="H365" t="s">
        <v>45</v>
      </c>
      <c r="I365" t="s">
        <v>103</v>
      </c>
      <c r="J365" t="s">
        <v>28</v>
      </c>
      <c r="K365">
        <v>4</v>
      </c>
      <c r="L365" s="2">
        <v>9800</v>
      </c>
      <c r="M365" s="2">
        <f>Table1[[#This Row],[Cost_Price]]*Table1[[#This Row],[Quantity_Sold]]</f>
        <v>39200</v>
      </c>
      <c r="N365" s="2">
        <v>15797</v>
      </c>
      <c r="O365" s="5">
        <v>0.04</v>
      </c>
      <c r="P365" s="2">
        <v>63188</v>
      </c>
      <c r="Q365" s="2">
        <v>23988</v>
      </c>
      <c r="R365" s="3" t="s">
        <v>1110</v>
      </c>
    </row>
    <row r="366" spans="1:18" x14ac:dyDescent="0.25">
      <c r="A366" t="s">
        <v>1259</v>
      </c>
      <c r="B366" s="1">
        <v>45387</v>
      </c>
      <c r="C366" t="s">
        <v>62</v>
      </c>
      <c r="D366" t="s">
        <v>63</v>
      </c>
      <c r="E366" t="s">
        <v>64</v>
      </c>
      <c r="F366" t="s">
        <v>1110</v>
      </c>
      <c r="G366" t="s">
        <v>44</v>
      </c>
      <c r="H366" t="s">
        <v>26</v>
      </c>
      <c r="I366" t="s">
        <v>120</v>
      </c>
      <c r="J366" t="s">
        <v>54</v>
      </c>
      <c r="K366">
        <v>7</v>
      </c>
      <c r="L366" s="2">
        <v>5583</v>
      </c>
      <c r="M366" s="2">
        <f>Table1[[#This Row],[Cost_Price]]*Table1[[#This Row],[Quantity_Sold]]</f>
        <v>39081</v>
      </c>
      <c r="N366" s="2">
        <v>6488</v>
      </c>
      <c r="O366" s="5">
        <v>0.05</v>
      </c>
      <c r="P366" s="2">
        <v>45416</v>
      </c>
      <c r="Q366" s="2">
        <v>6335</v>
      </c>
      <c r="R366">
        <v>2</v>
      </c>
    </row>
    <row r="367" spans="1:18" x14ac:dyDescent="0.25">
      <c r="A367" t="s">
        <v>1260</v>
      </c>
      <c r="B367" s="1">
        <v>45516</v>
      </c>
      <c r="C367" t="s">
        <v>149</v>
      </c>
      <c r="D367" t="s">
        <v>150</v>
      </c>
      <c r="E367" t="s">
        <v>51</v>
      </c>
      <c r="F367" t="s">
        <v>23</v>
      </c>
      <c r="G367" t="s">
        <v>25</v>
      </c>
      <c r="H367" t="s">
        <v>45</v>
      </c>
      <c r="I367" t="s">
        <v>120</v>
      </c>
      <c r="J367" t="s">
        <v>28</v>
      </c>
      <c r="K367">
        <v>7</v>
      </c>
      <c r="L367" s="2">
        <v>4250</v>
      </c>
      <c r="M367" s="2">
        <f>Table1[[#This Row],[Cost_Price]]*Table1[[#This Row],[Quantity_Sold]]</f>
        <v>29750</v>
      </c>
      <c r="N367" s="2">
        <v>5714</v>
      </c>
      <c r="O367" s="5">
        <v>0.05</v>
      </c>
      <c r="P367" s="2">
        <v>39998</v>
      </c>
      <c r="Q367" s="2">
        <v>10248</v>
      </c>
      <c r="R367">
        <v>5</v>
      </c>
    </row>
    <row r="368" spans="1:18" x14ac:dyDescent="0.25">
      <c r="A368" t="s">
        <v>1261</v>
      </c>
      <c r="B368" s="1">
        <v>45460</v>
      </c>
      <c r="C368" t="s">
        <v>77</v>
      </c>
      <c r="D368" t="s">
        <v>78</v>
      </c>
      <c r="E368" t="s">
        <v>64</v>
      </c>
      <c r="F368" t="s">
        <v>92</v>
      </c>
      <c r="G368" t="s">
        <v>44</v>
      </c>
      <c r="H368" t="s">
        <v>45</v>
      </c>
      <c r="I368" t="s">
        <v>103</v>
      </c>
      <c r="J368" t="s">
        <v>59</v>
      </c>
      <c r="K368">
        <v>4</v>
      </c>
      <c r="L368" s="2">
        <v>6805</v>
      </c>
      <c r="M368" s="2">
        <f>Table1[[#This Row],[Cost_Price]]*Table1[[#This Row],[Quantity_Sold]]</f>
        <v>27220</v>
      </c>
      <c r="N368" s="2">
        <v>14310</v>
      </c>
      <c r="O368" s="5">
        <v>0.1</v>
      </c>
      <c r="P368" s="2">
        <v>57240</v>
      </c>
      <c r="Q368" s="2">
        <v>30020</v>
      </c>
      <c r="R368">
        <v>2</v>
      </c>
    </row>
    <row r="369" spans="1:18" x14ac:dyDescent="0.25">
      <c r="A369" t="s">
        <v>1262</v>
      </c>
      <c r="B369" s="1">
        <v>45788</v>
      </c>
      <c r="C369" t="s">
        <v>149</v>
      </c>
      <c r="D369" t="s">
        <v>150</v>
      </c>
      <c r="E369" t="s">
        <v>51</v>
      </c>
      <c r="F369" t="s">
        <v>92</v>
      </c>
      <c r="G369" t="s">
        <v>44</v>
      </c>
      <c r="H369" t="s">
        <v>26</v>
      </c>
      <c r="I369" t="s">
        <v>27</v>
      </c>
      <c r="J369" t="s">
        <v>59</v>
      </c>
      <c r="K369">
        <v>5</v>
      </c>
      <c r="L369" s="2">
        <v>13962</v>
      </c>
      <c r="M369" s="2">
        <f>Table1[[#This Row],[Cost_Price]]*Table1[[#This Row],[Quantity_Sold]]</f>
        <v>69810</v>
      </c>
      <c r="N369" s="2">
        <v>20113</v>
      </c>
      <c r="O369" s="5">
        <v>0.04</v>
      </c>
      <c r="P369" s="2">
        <v>100565</v>
      </c>
      <c r="Q369" s="2">
        <v>30755</v>
      </c>
      <c r="R369" s="3" t="s">
        <v>1110</v>
      </c>
    </row>
    <row r="370" spans="1:18" x14ac:dyDescent="0.25">
      <c r="A370" t="s">
        <v>1263</v>
      </c>
      <c r="B370" s="1">
        <v>45332</v>
      </c>
      <c r="C370" t="s">
        <v>77</v>
      </c>
      <c r="D370" t="s">
        <v>78</v>
      </c>
      <c r="E370" t="s">
        <v>64</v>
      </c>
      <c r="F370" t="s">
        <v>92</v>
      </c>
      <c r="G370" t="s">
        <v>25</v>
      </c>
      <c r="H370" t="s">
        <v>35</v>
      </c>
      <c r="I370" t="s">
        <v>103</v>
      </c>
      <c r="J370" t="s">
        <v>59</v>
      </c>
      <c r="K370">
        <v>4</v>
      </c>
      <c r="L370" s="2">
        <v>7523</v>
      </c>
      <c r="M370" s="2">
        <f>Table1[[#This Row],[Cost_Price]]*Table1[[#This Row],[Quantity_Sold]]</f>
        <v>30092</v>
      </c>
      <c r="N370" s="2">
        <v>10570</v>
      </c>
      <c r="O370" s="5">
        <v>0.04</v>
      </c>
      <c r="P370" s="2">
        <v>42280</v>
      </c>
      <c r="Q370" s="2">
        <v>12188</v>
      </c>
      <c r="R370">
        <v>4</v>
      </c>
    </row>
    <row r="371" spans="1:18" x14ac:dyDescent="0.25">
      <c r="A371" t="s">
        <v>1264</v>
      </c>
      <c r="B371" s="1">
        <v>45492</v>
      </c>
      <c r="C371" t="s">
        <v>117</v>
      </c>
      <c r="D371" t="s">
        <v>118</v>
      </c>
      <c r="E371" t="s">
        <v>41</v>
      </c>
      <c r="F371" t="s">
        <v>98</v>
      </c>
      <c r="G371" t="s">
        <v>44</v>
      </c>
      <c r="H371" t="s">
        <v>45</v>
      </c>
      <c r="I371" t="s">
        <v>103</v>
      </c>
      <c r="J371" t="s">
        <v>54</v>
      </c>
      <c r="K371">
        <v>7</v>
      </c>
      <c r="L371" s="2">
        <v>10140</v>
      </c>
      <c r="M371" s="2">
        <f>Table1[[#This Row],[Cost_Price]]*Table1[[#This Row],[Quantity_Sold]]</f>
        <v>70980</v>
      </c>
      <c r="N371" s="2">
        <v>13124</v>
      </c>
      <c r="O371" s="5">
        <v>0.02</v>
      </c>
      <c r="P371" s="2">
        <v>91868</v>
      </c>
      <c r="Q371" s="2">
        <v>20888</v>
      </c>
      <c r="R371" s="3" t="s">
        <v>1110</v>
      </c>
    </row>
    <row r="372" spans="1:18" x14ac:dyDescent="0.25">
      <c r="A372" t="s">
        <v>1265</v>
      </c>
      <c r="B372" s="1">
        <v>45528</v>
      </c>
      <c r="C372" t="s">
        <v>20</v>
      </c>
      <c r="D372" t="s">
        <v>1107</v>
      </c>
      <c r="E372" t="s">
        <v>22</v>
      </c>
      <c r="F372" t="s">
        <v>98</v>
      </c>
      <c r="G372" t="s">
        <v>25</v>
      </c>
      <c r="H372" t="s">
        <v>26</v>
      </c>
      <c r="I372" t="s">
        <v>27</v>
      </c>
      <c r="J372" t="s">
        <v>54</v>
      </c>
      <c r="K372">
        <v>4</v>
      </c>
      <c r="L372" s="2">
        <v>6104</v>
      </c>
      <c r="M372" s="2">
        <f>Table1[[#This Row],[Cost_Price]]*Table1[[#This Row],[Quantity_Sold]]</f>
        <v>24416</v>
      </c>
      <c r="N372" s="2">
        <v>10446</v>
      </c>
      <c r="O372" s="5">
        <v>0.05</v>
      </c>
      <c r="P372" s="2">
        <v>41784</v>
      </c>
      <c r="Q372" s="2">
        <v>17368</v>
      </c>
      <c r="R372">
        <v>3</v>
      </c>
    </row>
    <row r="373" spans="1:18" x14ac:dyDescent="0.25">
      <c r="A373" t="s">
        <v>1266</v>
      </c>
      <c r="B373" s="1">
        <v>45676</v>
      </c>
      <c r="C373" t="s">
        <v>87</v>
      </c>
      <c r="D373" t="s">
        <v>88</v>
      </c>
      <c r="E373" t="s">
        <v>33</v>
      </c>
      <c r="F373" t="s">
        <v>42</v>
      </c>
      <c r="G373" t="s">
        <v>44</v>
      </c>
      <c r="H373" t="s">
        <v>35</v>
      </c>
      <c r="I373" t="s">
        <v>27</v>
      </c>
      <c r="J373" t="s">
        <v>54</v>
      </c>
      <c r="K373">
        <v>8</v>
      </c>
      <c r="L373" s="2">
        <v>5578</v>
      </c>
      <c r="M373" s="2">
        <f>Table1[[#This Row],[Cost_Price]]*Table1[[#This Row],[Quantity_Sold]]</f>
        <v>44624</v>
      </c>
      <c r="N373" s="2">
        <v>12786</v>
      </c>
      <c r="O373" s="5">
        <v>0.1</v>
      </c>
      <c r="P373" s="2">
        <v>102288</v>
      </c>
      <c r="Q373" s="2">
        <v>57664</v>
      </c>
      <c r="R373">
        <v>1</v>
      </c>
    </row>
    <row r="374" spans="1:18" x14ac:dyDescent="0.25">
      <c r="A374" t="s">
        <v>1267</v>
      </c>
      <c r="B374" s="1">
        <v>45461</v>
      </c>
      <c r="C374" t="s">
        <v>77</v>
      </c>
      <c r="D374" t="s">
        <v>78</v>
      </c>
      <c r="E374" t="s">
        <v>64</v>
      </c>
      <c r="F374" t="s">
        <v>92</v>
      </c>
      <c r="G374" t="s">
        <v>25</v>
      </c>
      <c r="H374" t="s">
        <v>35</v>
      </c>
      <c r="I374" t="s">
        <v>103</v>
      </c>
      <c r="J374" t="s">
        <v>28</v>
      </c>
      <c r="K374">
        <v>4</v>
      </c>
      <c r="L374" s="2">
        <v>12800</v>
      </c>
      <c r="M374" s="2">
        <f>Table1[[#This Row],[Cost_Price]]*Table1[[#This Row],[Quantity_Sold]]</f>
        <v>51200</v>
      </c>
      <c r="N374" s="2">
        <v>18576</v>
      </c>
      <c r="O374" s="5">
        <v>0</v>
      </c>
      <c r="P374" s="2">
        <v>74304</v>
      </c>
      <c r="Q374" s="2">
        <v>23104</v>
      </c>
      <c r="R374">
        <v>3</v>
      </c>
    </row>
    <row r="375" spans="1:18" x14ac:dyDescent="0.25">
      <c r="A375" t="s">
        <v>1268</v>
      </c>
      <c r="B375" s="1">
        <v>45418</v>
      </c>
      <c r="C375" t="s">
        <v>20</v>
      </c>
      <c r="D375" t="s">
        <v>1107</v>
      </c>
      <c r="E375" t="s">
        <v>22</v>
      </c>
      <c r="F375" t="s">
        <v>92</v>
      </c>
      <c r="G375" t="s">
        <v>44</v>
      </c>
      <c r="H375" t="s">
        <v>26</v>
      </c>
      <c r="I375" t="s">
        <v>103</v>
      </c>
      <c r="J375" t="s">
        <v>28</v>
      </c>
      <c r="K375">
        <v>1</v>
      </c>
      <c r="L375" s="2">
        <v>11262</v>
      </c>
      <c r="M375" s="2">
        <f>Table1[[#This Row],[Cost_Price]]*Table1[[#This Row],[Quantity_Sold]]</f>
        <v>11262</v>
      </c>
      <c r="N375" s="2">
        <v>15280</v>
      </c>
      <c r="O375" s="5">
        <v>0.02</v>
      </c>
      <c r="P375" s="2">
        <v>15280</v>
      </c>
      <c r="Q375" s="2">
        <v>4018</v>
      </c>
      <c r="R375">
        <v>4</v>
      </c>
    </row>
    <row r="376" spans="1:18" x14ac:dyDescent="0.25">
      <c r="A376" t="s">
        <v>1269</v>
      </c>
      <c r="B376" s="1">
        <v>45499</v>
      </c>
      <c r="C376" t="s">
        <v>31</v>
      </c>
      <c r="D376" t="s">
        <v>32</v>
      </c>
      <c r="E376" t="s">
        <v>33</v>
      </c>
      <c r="F376" t="s">
        <v>1110</v>
      </c>
      <c r="G376" t="s">
        <v>25</v>
      </c>
      <c r="H376" t="s">
        <v>26</v>
      </c>
      <c r="I376" t="s">
        <v>103</v>
      </c>
      <c r="J376" t="s">
        <v>36</v>
      </c>
      <c r="K376">
        <v>7</v>
      </c>
      <c r="L376" s="2">
        <v>4755</v>
      </c>
      <c r="M376" s="2">
        <f>Table1[[#This Row],[Cost_Price]]*Table1[[#This Row],[Quantity_Sold]]</f>
        <v>33285</v>
      </c>
      <c r="N376" s="2">
        <v>12547</v>
      </c>
      <c r="O376" s="5">
        <v>0.05</v>
      </c>
      <c r="P376" s="2">
        <v>87829</v>
      </c>
      <c r="Q376" s="2">
        <v>54544</v>
      </c>
      <c r="R376">
        <v>5</v>
      </c>
    </row>
    <row r="377" spans="1:18" x14ac:dyDescent="0.25">
      <c r="A377" t="s">
        <v>1270</v>
      </c>
      <c r="B377" s="1">
        <v>45567</v>
      </c>
      <c r="C377" t="s">
        <v>71</v>
      </c>
      <c r="D377" t="s">
        <v>72</v>
      </c>
      <c r="E377" t="s">
        <v>64</v>
      </c>
      <c r="F377" t="s">
        <v>98</v>
      </c>
      <c r="G377" t="s">
        <v>44</v>
      </c>
      <c r="H377" t="s">
        <v>35</v>
      </c>
      <c r="I377" t="s">
        <v>103</v>
      </c>
      <c r="J377" t="s">
        <v>28</v>
      </c>
      <c r="K377">
        <v>3</v>
      </c>
      <c r="L377" s="2">
        <v>12523</v>
      </c>
      <c r="M377" s="2">
        <f>Table1[[#This Row],[Cost_Price]]*Table1[[#This Row],[Quantity_Sold]]</f>
        <v>37569</v>
      </c>
      <c r="N377" s="2">
        <v>19632</v>
      </c>
      <c r="O377" s="5">
        <v>0.04</v>
      </c>
      <c r="P377" s="2">
        <v>58896</v>
      </c>
      <c r="Q377" s="2">
        <v>21327</v>
      </c>
      <c r="R377">
        <v>3</v>
      </c>
    </row>
    <row r="378" spans="1:18" x14ac:dyDescent="0.25">
      <c r="A378" t="s">
        <v>1271</v>
      </c>
      <c r="B378" s="1">
        <v>45450</v>
      </c>
      <c r="C378" t="s">
        <v>141</v>
      </c>
      <c r="D378" t="s">
        <v>142</v>
      </c>
      <c r="E378" t="s">
        <v>51</v>
      </c>
      <c r="F378" t="s">
        <v>23</v>
      </c>
      <c r="G378" t="s">
        <v>44</v>
      </c>
      <c r="H378" t="s">
        <v>45</v>
      </c>
      <c r="I378" t="s">
        <v>27</v>
      </c>
      <c r="J378" t="s">
        <v>28</v>
      </c>
      <c r="K378">
        <v>2</v>
      </c>
      <c r="L378" s="2">
        <v>9082</v>
      </c>
      <c r="M378" s="2">
        <f>Table1[[#This Row],[Cost_Price]]*Table1[[#This Row],[Quantity_Sold]]</f>
        <v>18164</v>
      </c>
      <c r="N378" s="2">
        <v>9757</v>
      </c>
      <c r="O378" s="5">
        <v>0.05</v>
      </c>
      <c r="P378" s="2">
        <v>19514</v>
      </c>
      <c r="Q378" s="2">
        <v>1350</v>
      </c>
      <c r="R378">
        <v>4</v>
      </c>
    </row>
    <row r="379" spans="1:18" x14ac:dyDescent="0.25">
      <c r="A379" t="s">
        <v>1272</v>
      </c>
      <c r="B379" s="1">
        <v>45445</v>
      </c>
      <c r="C379" t="s">
        <v>117</v>
      </c>
      <c r="D379" t="s">
        <v>118</v>
      </c>
      <c r="E379" t="s">
        <v>41</v>
      </c>
      <c r="F379" t="s">
        <v>98</v>
      </c>
      <c r="G379" t="s">
        <v>44</v>
      </c>
      <c r="H379" t="s">
        <v>45</v>
      </c>
      <c r="I379" t="s">
        <v>103</v>
      </c>
      <c r="J379" t="s">
        <v>54</v>
      </c>
      <c r="K379">
        <v>6</v>
      </c>
      <c r="L379" s="2">
        <v>9745</v>
      </c>
      <c r="M379" s="2">
        <f>Table1[[#This Row],[Cost_Price]]*Table1[[#This Row],[Quantity_Sold]]</f>
        <v>58470</v>
      </c>
      <c r="N379" s="2">
        <v>13354</v>
      </c>
      <c r="O379" s="5">
        <v>0.04</v>
      </c>
      <c r="P379" s="2">
        <v>80124</v>
      </c>
      <c r="Q379" s="2">
        <v>21654</v>
      </c>
      <c r="R379">
        <v>2</v>
      </c>
    </row>
    <row r="380" spans="1:18" x14ac:dyDescent="0.25">
      <c r="A380" t="s">
        <v>1273</v>
      </c>
      <c r="B380" s="1">
        <v>45556</v>
      </c>
      <c r="C380" t="s">
        <v>62</v>
      </c>
      <c r="D380" t="s">
        <v>63</v>
      </c>
      <c r="E380" t="s">
        <v>64</v>
      </c>
      <c r="F380" t="s">
        <v>42</v>
      </c>
      <c r="G380" t="s">
        <v>44</v>
      </c>
      <c r="H380" t="s">
        <v>26</v>
      </c>
      <c r="I380" t="s">
        <v>58</v>
      </c>
      <c r="J380" t="s">
        <v>28</v>
      </c>
      <c r="K380">
        <v>7</v>
      </c>
      <c r="L380" s="2">
        <v>8441</v>
      </c>
      <c r="M380" s="2">
        <f>Table1[[#This Row],[Cost_Price]]*Table1[[#This Row],[Quantity_Sold]]</f>
        <v>59087</v>
      </c>
      <c r="N380" s="2">
        <v>14884</v>
      </c>
      <c r="O380" s="5">
        <v>0.02</v>
      </c>
      <c r="P380" s="2">
        <v>104188</v>
      </c>
      <c r="Q380" s="2">
        <v>45101</v>
      </c>
      <c r="R380">
        <v>4</v>
      </c>
    </row>
    <row r="381" spans="1:18" x14ac:dyDescent="0.25">
      <c r="A381" t="s">
        <v>1274</v>
      </c>
      <c r="B381" s="1">
        <v>45313</v>
      </c>
      <c r="C381" t="s">
        <v>96</v>
      </c>
      <c r="D381" t="s">
        <v>97</v>
      </c>
      <c r="E381" t="s">
        <v>51</v>
      </c>
      <c r="F381" t="s">
        <v>23</v>
      </c>
      <c r="G381" t="s">
        <v>44</v>
      </c>
      <c r="H381" t="s">
        <v>26</v>
      </c>
      <c r="I381" t="s">
        <v>103</v>
      </c>
      <c r="J381" t="s">
        <v>59</v>
      </c>
      <c r="K381">
        <v>4</v>
      </c>
      <c r="L381" s="2">
        <v>3427</v>
      </c>
      <c r="M381" s="2">
        <f>Table1[[#This Row],[Cost_Price]]*Table1[[#This Row],[Quantity_Sold]]</f>
        <v>13708</v>
      </c>
      <c r="N381" s="2">
        <v>4932</v>
      </c>
      <c r="O381" s="5">
        <v>0.1</v>
      </c>
      <c r="P381" s="2">
        <v>19728</v>
      </c>
      <c r="Q381" s="2">
        <v>6020</v>
      </c>
      <c r="R381">
        <v>1</v>
      </c>
    </row>
    <row r="382" spans="1:18" x14ac:dyDescent="0.25">
      <c r="A382" t="s">
        <v>1275</v>
      </c>
      <c r="B382" s="1">
        <v>45488</v>
      </c>
      <c r="C382" t="s">
        <v>82</v>
      </c>
      <c r="D382" t="s">
        <v>83</v>
      </c>
      <c r="E382" t="s">
        <v>51</v>
      </c>
      <c r="F382" t="s">
        <v>98</v>
      </c>
      <c r="G382" t="s">
        <v>44</v>
      </c>
      <c r="H382" t="s">
        <v>26</v>
      </c>
      <c r="I382" t="s">
        <v>103</v>
      </c>
      <c r="J382" t="s">
        <v>59</v>
      </c>
      <c r="K382">
        <v>8</v>
      </c>
      <c r="L382" s="2">
        <v>4734</v>
      </c>
      <c r="M382" s="2">
        <f>Table1[[#This Row],[Cost_Price]]*Table1[[#This Row],[Quantity_Sold]]</f>
        <v>37872</v>
      </c>
      <c r="N382" s="2">
        <v>6577</v>
      </c>
      <c r="O382" s="5">
        <v>0.04</v>
      </c>
      <c r="P382" s="2">
        <v>52616</v>
      </c>
      <c r="Q382" s="2">
        <v>14744</v>
      </c>
      <c r="R382">
        <v>3</v>
      </c>
    </row>
    <row r="383" spans="1:18" x14ac:dyDescent="0.25">
      <c r="A383" t="s">
        <v>1276</v>
      </c>
      <c r="B383" s="1">
        <v>45694</v>
      </c>
      <c r="C383" t="s">
        <v>216</v>
      </c>
      <c r="D383" t="s">
        <v>217</v>
      </c>
      <c r="E383" t="s">
        <v>33</v>
      </c>
      <c r="F383" t="s">
        <v>1110</v>
      </c>
      <c r="G383" t="s">
        <v>44</v>
      </c>
      <c r="H383" t="s">
        <v>45</v>
      </c>
      <c r="I383" t="s">
        <v>103</v>
      </c>
      <c r="J383" t="s">
        <v>28</v>
      </c>
      <c r="K383">
        <v>8</v>
      </c>
      <c r="L383" s="2">
        <v>5706</v>
      </c>
      <c r="M383" s="2">
        <f>Table1[[#This Row],[Cost_Price]]*Table1[[#This Row],[Quantity_Sold]]</f>
        <v>45648</v>
      </c>
      <c r="N383" s="2">
        <v>13697</v>
      </c>
      <c r="O383" s="5">
        <v>0</v>
      </c>
      <c r="P383" s="2">
        <v>109576</v>
      </c>
      <c r="Q383" s="2">
        <v>63928</v>
      </c>
      <c r="R383">
        <v>2</v>
      </c>
    </row>
    <row r="384" spans="1:18" x14ac:dyDescent="0.25">
      <c r="A384" t="s">
        <v>1277</v>
      </c>
      <c r="B384" s="1">
        <v>45752</v>
      </c>
      <c r="C384" t="s">
        <v>216</v>
      </c>
      <c r="D384" t="s">
        <v>217</v>
      </c>
      <c r="E384" t="s">
        <v>33</v>
      </c>
      <c r="F384" t="s">
        <v>73</v>
      </c>
      <c r="G384" t="s">
        <v>44</v>
      </c>
      <c r="H384" t="s">
        <v>45</v>
      </c>
      <c r="I384" t="s">
        <v>103</v>
      </c>
      <c r="J384" t="s">
        <v>54</v>
      </c>
      <c r="K384">
        <v>3</v>
      </c>
      <c r="L384" s="2">
        <v>11960</v>
      </c>
      <c r="M384" s="2">
        <f>Table1[[#This Row],[Cost_Price]]*Table1[[#This Row],[Quantity_Sold]]</f>
        <v>35880</v>
      </c>
      <c r="N384" s="2">
        <v>13722</v>
      </c>
      <c r="O384" s="5">
        <v>0.05</v>
      </c>
      <c r="P384" s="2">
        <v>41166</v>
      </c>
      <c r="Q384" s="2">
        <v>5286</v>
      </c>
      <c r="R384">
        <v>5</v>
      </c>
    </row>
    <row r="385" spans="1:18" x14ac:dyDescent="0.25">
      <c r="A385" t="s">
        <v>1278</v>
      </c>
      <c r="B385" s="1">
        <v>45519</v>
      </c>
      <c r="C385" t="s">
        <v>106</v>
      </c>
      <c r="D385" t="s">
        <v>107</v>
      </c>
      <c r="E385" t="s">
        <v>41</v>
      </c>
      <c r="F385" t="s">
        <v>1110</v>
      </c>
      <c r="G385" t="s">
        <v>44</v>
      </c>
      <c r="H385" t="s">
        <v>26</v>
      </c>
      <c r="I385" t="s">
        <v>27</v>
      </c>
      <c r="J385" t="s">
        <v>28</v>
      </c>
      <c r="K385">
        <v>4</v>
      </c>
      <c r="L385" s="2">
        <v>3560</v>
      </c>
      <c r="M385" s="2">
        <f>Table1[[#This Row],[Cost_Price]]*Table1[[#This Row],[Quantity_Sold]]</f>
        <v>14240</v>
      </c>
      <c r="N385" s="2">
        <v>4245</v>
      </c>
      <c r="O385" s="5">
        <v>0</v>
      </c>
      <c r="P385" s="2">
        <v>16980</v>
      </c>
      <c r="Q385" s="2">
        <v>2740</v>
      </c>
      <c r="R385">
        <v>4</v>
      </c>
    </row>
    <row r="386" spans="1:18" x14ac:dyDescent="0.25">
      <c r="A386" t="s">
        <v>1279</v>
      </c>
      <c r="B386" s="1">
        <v>45613</v>
      </c>
      <c r="C386" t="s">
        <v>96</v>
      </c>
      <c r="D386" t="s">
        <v>97</v>
      </c>
      <c r="E386" t="s">
        <v>51</v>
      </c>
      <c r="F386" t="s">
        <v>23</v>
      </c>
      <c r="G386" t="s">
        <v>25</v>
      </c>
      <c r="H386" t="s">
        <v>26</v>
      </c>
      <c r="I386" t="s">
        <v>103</v>
      </c>
      <c r="J386" t="s">
        <v>28</v>
      </c>
      <c r="K386">
        <v>4</v>
      </c>
      <c r="L386" s="2">
        <v>7382</v>
      </c>
      <c r="M386" s="2">
        <f>Table1[[#This Row],[Cost_Price]]*Table1[[#This Row],[Quantity_Sold]]</f>
        <v>29528</v>
      </c>
      <c r="N386" s="2">
        <v>10904</v>
      </c>
      <c r="O386" s="5">
        <v>0.04</v>
      </c>
      <c r="P386" s="2">
        <v>43616</v>
      </c>
      <c r="Q386" s="2">
        <v>14088</v>
      </c>
      <c r="R386">
        <v>2</v>
      </c>
    </row>
    <row r="387" spans="1:18" x14ac:dyDescent="0.25">
      <c r="A387" t="s">
        <v>1280</v>
      </c>
      <c r="B387" s="1">
        <v>45685</v>
      </c>
      <c r="C387" t="s">
        <v>82</v>
      </c>
      <c r="D387" t="s">
        <v>83</v>
      </c>
      <c r="E387" t="s">
        <v>51</v>
      </c>
      <c r="F387" t="s">
        <v>1110</v>
      </c>
      <c r="G387" t="s">
        <v>44</v>
      </c>
      <c r="H387" t="s">
        <v>35</v>
      </c>
      <c r="I387" t="s">
        <v>103</v>
      </c>
      <c r="J387" t="s">
        <v>54</v>
      </c>
      <c r="K387">
        <v>3</v>
      </c>
      <c r="L387" s="2">
        <v>5484</v>
      </c>
      <c r="M387" s="2">
        <f>Table1[[#This Row],[Cost_Price]]*Table1[[#This Row],[Quantity_Sold]]</f>
        <v>16452</v>
      </c>
      <c r="N387" s="2">
        <v>9892</v>
      </c>
      <c r="O387" s="5">
        <v>0.04</v>
      </c>
      <c r="P387" s="2">
        <v>29676</v>
      </c>
      <c r="Q387" s="2">
        <v>13224</v>
      </c>
      <c r="R387">
        <v>1</v>
      </c>
    </row>
    <row r="388" spans="1:18" x14ac:dyDescent="0.25">
      <c r="A388" t="s">
        <v>1281</v>
      </c>
      <c r="B388" s="1">
        <v>45753</v>
      </c>
      <c r="C388" t="s">
        <v>77</v>
      </c>
      <c r="D388" t="s">
        <v>78</v>
      </c>
      <c r="E388" t="s">
        <v>64</v>
      </c>
      <c r="F388" t="s">
        <v>23</v>
      </c>
      <c r="G388" t="s">
        <v>25</v>
      </c>
      <c r="H388" t="s">
        <v>45</v>
      </c>
      <c r="I388" t="s">
        <v>120</v>
      </c>
      <c r="J388" t="s">
        <v>36</v>
      </c>
      <c r="K388">
        <v>3</v>
      </c>
      <c r="L388" s="2">
        <v>1246</v>
      </c>
      <c r="M388" s="2">
        <f>Table1[[#This Row],[Cost_Price]]*Table1[[#This Row],[Quantity_Sold]]</f>
        <v>3738</v>
      </c>
      <c r="N388" s="2">
        <v>5219</v>
      </c>
      <c r="O388" s="5">
        <v>0.05</v>
      </c>
      <c r="P388" s="2">
        <v>15657</v>
      </c>
      <c r="Q388" s="2">
        <v>11919</v>
      </c>
      <c r="R388">
        <v>4</v>
      </c>
    </row>
    <row r="389" spans="1:18" x14ac:dyDescent="0.25">
      <c r="A389" t="s">
        <v>1282</v>
      </c>
      <c r="B389" s="1">
        <v>45491</v>
      </c>
      <c r="C389" t="s">
        <v>106</v>
      </c>
      <c r="D389" t="s">
        <v>107</v>
      </c>
      <c r="E389" t="s">
        <v>41</v>
      </c>
      <c r="F389" t="s">
        <v>1110</v>
      </c>
      <c r="G389" t="s">
        <v>25</v>
      </c>
      <c r="H389" t="s">
        <v>35</v>
      </c>
      <c r="I389" t="s">
        <v>58</v>
      </c>
      <c r="J389" t="s">
        <v>28</v>
      </c>
      <c r="K389">
        <v>3</v>
      </c>
      <c r="L389" s="2">
        <v>4908</v>
      </c>
      <c r="M389" s="2">
        <f>Table1[[#This Row],[Cost_Price]]*Table1[[#This Row],[Quantity_Sold]]</f>
        <v>14724</v>
      </c>
      <c r="N389" s="2">
        <v>8825</v>
      </c>
      <c r="O389" s="5">
        <v>0.05</v>
      </c>
      <c r="P389" s="2">
        <v>26475</v>
      </c>
      <c r="Q389" s="2">
        <v>11751</v>
      </c>
      <c r="R389" s="3" t="s">
        <v>1110</v>
      </c>
    </row>
    <row r="390" spans="1:18" x14ac:dyDescent="0.25">
      <c r="A390" t="s">
        <v>1283</v>
      </c>
      <c r="B390" s="1">
        <v>45593</v>
      </c>
      <c r="C390" t="s">
        <v>216</v>
      </c>
      <c r="D390" t="s">
        <v>217</v>
      </c>
      <c r="E390" t="s">
        <v>33</v>
      </c>
      <c r="F390" t="s">
        <v>92</v>
      </c>
      <c r="G390" t="s">
        <v>44</v>
      </c>
      <c r="H390" t="s">
        <v>26</v>
      </c>
      <c r="I390" t="s">
        <v>103</v>
      </c>
      <c r="J390" t="s">
        <v>54</v>
      </c>
      <c r="K390">
        <v>7</v>
      </c>
      <c r="L390" s="2">
        <v>14321</v>
      </c>
      <c r="M390" s="2">
        <f>Table1[[#This Row],[Cost_Price]]*Table1[[#This Row],[Quantity_Sold]]</f>
        <v>100247</v>
      </c>
      <c r="N390" s="2">
        <v>19161</v>
      </c>
      <c r="O390" s="5">
        <v>0.1</v>
      </c>
      <c r="P390" s="2">
        <v>134127</v>
      </c>
      <c r="Q390" s="2">
        <v>33880</v>
      </c>
      <c r="R390" s="3" t="s">
        <v>1110</v>
      </c>
    </row>
    <row r="391" spans="1:18" x14ac:dyDescent="0.25">
      <c r="A391" t="s">
        <v>1284</v>
      </c>
      <c r="B391" s="1">
        <v>45699</v>
      </c>
      <c r="C391" t="s">
        <v>117</v>
      </c>
      <c r="D391" t="s">
        <v>118</v>
      </c>
      <c r="E391" t="s">
        <v>41</v>
      </c>
      <c r="F391" t="s">
        <v>92</v>
      </c>
      <c r="G391" t="s">
        <v>25</v>
      </c>
      <c r="H391" t="s">
        <v>26</v>
      </c>
      <c r="I391" t="s">
        <v>58</v>
      </c>
      <c r="J391" t="s">
        <v>54</v>
      </c>
      <c r="K391">
        <v>8</v>
      </c>
      <c r="L391" s="2">
        <v>9581</v>
      </c>
      <c r="M391" s="2">
        <f>Table1[[#This Row],[Cost_Price]]*Table1[[#This Row],[Quantity_Sold]]</f>
        <v>76648</v>
      </c>
      <c r="N391" s="2">
        <v>11546</v>
      </c>
      <c r="O391" s="5">
        <v>0.1</v>
      </c>
      <c r="P391" s="2">
        <v>92368</v>
      </c>
      <c r="Q391" s="2">
        <v>15720</v>
      </c>
      <c r="R391">
        <v>4</v>
      </c>
    </row>
    <row r="392" spans="1:18" x14ac:dyDescent="0.25">
      <c r="A392" t="s">
        <v>1285</v>
      </c>
      <c r="B392" s="1">
        <v>45617</v>
      </c>
      <c r="C392" t="s">
        <v>87</v>
      </c>
      <c r="D392" t="s">
        <v>88</v>
      </c>
      <c r="E392" t="s">
        <v>33</v>
      </c>
      <c r="F392" t="s">
        <v>1110</v>
      </c>
      <c r="G392" t="s">
        <v>25</v>
      </c>
      <c r="H392" t="s">
        <v>45</v>
      </c>
      <c r="I392" t="s">
        <v>103</v>
      </c>
      <c r="J392" t="s">
        <v>36</v>
      </c>
      <c r="K392">
        <v>1</v>
      </c>
      <c r="L392" s="2">
        <v>1481</v>
      </c>
      <c r="M392" s="2">
        <f>Table1[[#This Row],[Cost_Price]]*Table1[[#This Row],[Quantity_Sold]]</f>
        <v>1481</v>
      </c>
      <c r="N392" s="2">
        <v>5225</v>
      </c>
      <c r="O392" s="5">
        <v>0.05</v>
      </c>
      <c r="P392" s="2">
        <v>5225</v>
      </c>
      <c r="Q392" s="2">
        <v>3744</v>
      </c>
      <c r="R392">
        <v>5</v>
      </c>
    </row>
    <row r="393" spans="1:18" x14ac:dyDescent="0.25">
      <c r="A393" t="s">
        <v>1286</v>
      </c>
      <c r="B393" s="1">
        <v>45456</v>
      </c>
      <c r="C393" t="s">
        <v>49</v>
      </c>
      <c r="D393" t="s">
        <v>83</v>
      </c>
      <c r="E393" t="s">
        <v>51</v>
      </c>
      <c r="F393" t="s">
        <v>92</v>
      </c>
      <c r="G393" t="s">
        <v>25</v>
      </c>
      <c r="H393" t="s">
        <v>35</v>
      </c>
      <c r="I393" t="s">
        <v>103</v>
      </c>
      <c r="J393" t="s">
        <v>59</v>
      </c>
      <c r="K393">
        <v>4</v>
      </c>
      <c r="L393" s="2">
        <v>3278</v>
      </c>
      <c r="M393" s="2">
        <f>Table1[[#This Row],[Cost_Price]]*Table1[[#This Row],[Quantity_Sold]]</f>
        <v>13112</v>
      </c>
      <c r="N393" s="2">
        <v>8860</v>
      </c>
      <c r="O393" s="5">
        <v>0.05</v>
      </c>
      <c r="P393" s="2">
        <v>35440</v>
      </c>
      <c r="Q393" s="2">
        <v>22328</v>
      </c>
      <c r="R393" s="3" t="s">
        <v>1110</v>
      </c>
    </row>
    <row r="394" spans="1:18" x14ac:dyDescent="0.25">
      <c r="A394" t="s">
        <v>1287</v>
      </c>
      <c r="B394" s="1">
        <v>45485</v>
      </c>
      <c r="C394" t="s">
        <v>20</v>
      </c>
      <c r="D394" t="s">
        <v>1107</v>
      </c>
      <c r="E394" t="s">
        <v>22</v>
      </c>
      <c r="F394" t="s">
        <v>23</v>
      </c>
      <c r="G394" t="s">
        <v>44</v>
      </c>
      <c r="H394" t="s">
        <v>45</v>
      </c>
      <c r="I394" t="s">
        <v>27</v>
      </c>
      <c r="J394" t="s">
        <v>59</v>
      </c>
      <c r="K394">
        <v>6</v>
      </c>
      <c r="L394" s="2">
        <v>11692</v>
      </c>
      <c r="M394" s="2">
        <f>Table1[[#This Row],[Cost_Price]]*Table1[[#This Row],[Quantity_Sold]]</f>
        <v>70152</v>
      </c>
      <c r="N394" s="2">
        <v>12684</v>
      </c>
      <c r="O394" s="5">
        <v>0.02</v>
      </c>
      <c r="P394" s="2">
        <v>76104</v>
      </c>
      <c r="Q394" s="2">
        <v>5952</v>
      </c>
      <c r="R394">
        <v>1</v>
      </c>
    </row>
    <row r="395" spans="1:18" x14ac:dyDescent="0.25">
      <c r="A395" t="s">
        <v>1288</v>
      </c>
      <c r="B395" s="1">
        <v>45642</v>
      </c>
      <c r="C395" t="s">
        <v>96</v>
      </c>
      <c r="D395" t="s">
        <v>97</v>
      </c>
      <c r="E395" t="s">
        <v>51</v>
      </c>
      <c r="F395" t="s">
        <v>73</v>
      </c>
      <c r="G395" t="s">
        <v>25</v>
      </c>
      <c r="H395" t="s">
        <v>35</v>
      </c>
      <c r="I395" t="s">
        <v>103</v>
      </c>
      <c r="J395" t="s">
        <v>36</v>
      </c>
      <c r="K395">
        <v>1</v>
      </c>
      <c r="L395" s="2">
        <v>7910</v>
      </c>
      <c r="M395" s="2">
        <f>Table1[[#This Row],[Cost_Price]]*Table1[[#This Row],[Quantity_Sold]]</f>
        <v>7910</v>
      </c>
      <c r="N395" s="2">
        <v>9104</v>
      </c>
      <c r="O395" s="5">
        <v>0.02</v>
      </c>
      <c r="P395" s="2">
        <v>9104</v>
      </c>
      <c r="Q395" s="2">
        <v>1194</v>
      </c>
      <c r="R395">
        <v>4</v>
      </c>
    </row>
    <row r="396" spans="1:18" x14ac:dyDescent="0.25">
      <c r="A396" t="s">
        <v>1289</v>
      </c>
      <c r="B396" s="1">
        <v>45444</v>
      </c>
      <c r="C396" t="s">
        <v>39</v>
      </c>
      <c r="D396" t="s">
        <v>1108</v>
      </c>
      <c r="E396" t="s">
        <v>41</v>
      </c>
      <c r="F396" t="s">
        <v>73</v>
      </c>
      <c r="G396" t="s">
        <v>44</v>
      </c>
      <c r="H396" t="s">
        <v>26</v>
      </c>
      <c r="I396" t="s">
        <v>103</v>
      </c>
      <c r="J396" t="s">
        <v>28</v>
      </c>
      <c r="K396">
        <v>4</v>
      </c>
      <c r="L396" s="2">
        <v>1011</v>
      </c>
      <c r="M396" s="2">
        <f>Table1[[#This Row],[Cost_Price]]*Table1[[#This Row],[Quantity_Sold]]</f>
        <v>4044</v>
      </c>
      <c r="N396" s="2">
        <v>4626</v>
      </c>
      <c r="O396" s="5">
        <v>0.1</v>
      </c>
      <c r="P396" s="2">
        <v>18504</v>
      </c>
      <c r="Q396" s="2">
        <v>14460</v>
      </c>
      <c r="R396">
        <v>3</v>
      </c>
    </row>
    <row r="397" spans="1:18" x14ac:dyDescent="0.25">
      <c r="A397" t="s">
        <v>1290</v>
      </c>
      <c r="B397" s="1">
        <v>45645</v>
      </c>
      <c r="C397" t="s">
        <v>96</v>
      </c>
      <c r="D397" t="s">
        <v>97</v>
      </c>
      <c r="E397" t="s">
        <v>51</v>
      </c>
      <c r="F397" t="s">
        <v>23</v>
      </c>
      <c r="G397" t="s">
        <v>44</v>
      </c>
      <c r="H397" t="s">
        <v>26</v>
      </c>
      <c r="I397" t="s">
        <v>27</v>
      </c>
      <c r="J397" t="s">
        <v>36</v>
      </c>
      <c r="K397">
        <v>3</v>
      </c>
      <c r="L397" s="2">
        <v>10810</v>
      </c>
      <c r="M397" s="2">
        <f>Table1[[#This Row],[Cost_Price]]*Table1[[#This Row],[Quantity_Sold]]</f>
        <v>32430</v>
      </c>
      <c r="N397" s="2">
        <v>17943</v>
      </c>
      <c r="O397" s="5">
        <v>0.05</v>
      </c>
      <c r="P397" s="2">
        <v>53829</v>
      </c>
      <c r="Q397" s="2">
        <v>21399</v>
      </c>
      <c r="R397" s="3" t="s">
        <v>1110</v>
      </c>
    </row>
    <row r="398" spans="1:18" x14ac:dyDescent="0.25">
      <c r="A398" t="s">
        <v>1291</v>
      </c>
      <c r="B398" s="1">
        <v>45641</v>
      </c>
      <c r="C398" t="s">
        <v>31</v>
      </c>
      <c r="D398" t="s">
        <v>32</v>
      </c>
      <c r="E398" t="s">
        <v>33</v>
      </c>
      <c r="F398" t="s">
        <v>1110</v>
      </c>
      <c r="G398" t="s">
        <v>44</v>
      </c>
      <c r="H398" t="s">
        <v>35</v>
      </c>
      <c r="I398" t="s">
        <v>103</v>
      </c>
      <c r="J398" t="s">
        <v>36</v>
      </c>
      <c r="K398">
        <v>5</v>
      </c>
      <c r="L398" s="2">
        <v>1658</v>
      </c>
      <c r="M398" s="2">
        <f>Table1[[#This Row],[Cost_Price]]*Table1[[#This Row],[Quantity_Sold]]</f>
        <v>8290</v>
      </c>
      <c r="N398" s="2">
        <v>7997</v>
      </c>
      <c r="O398" s="5">
        <v>0.1</v>
      </c>
      <c r="P398" s="2">
        <v>39985</v>
      </c>
      <c r="Q398" s="2">
        <v>31695</v>
      </c>
      <c r="R398">
        <v>5</v>
      </c>
    </row>
    <row r="399" spans="1:18" x14ac:dyDescent="0.25">
      <c r="A399" t="s">
        <v>1292</v>
      </c>
      <c r="B399" s="1">
        <v>45652</v>
      </c>
      <c r="C399" t="s">
        <v>216</v>
      </c>
      <c r="D399" t="s">
        <v>217</v>
      </c>
      <c r="E399" t="s">
        <v>33</v>
      </c>
      <c r="F399" t="s">
        <v>98</v>
      </c>
      <c r="G399" t="s">
        <v>25</v>
      </c>
      <c r="H399" t="s">
        <v>45</v>
      </c>
      <c r="I399" t="s">
        <v>103</v>
      </c>
      <c r="J399" t="s">
        <v>36</v>
      </c>
      <c r="K399">
        <v>4</v>
      </c>
      <c r="L399" s="2">
        <v>7364</v>
      </c>
      <c r="M399" s="2">
        <f>Table1[[#This Row],[Cost_Price]]*Table1[[#This Row],[Quantity_Sold]]</f>
        <v>29456</v>
      </c>
      <c r="N399" s="2">
        <v>14191</v>
      </c>
      <c r="O399" s="5">
        <v>0.02</v>
      </c>
      <c r="P399" s="2">
        <v>56764</v>
      </c>
      <c r="Q399" s="2">
        <v>27308</v>
      </c>
      <c r="R399">
        <v>2</v>
      </c>
    </row>
    <row r="400" spans="1:18" x14ac:dyDescent="0.25">
      <c r="A400" t="s">
        <v>1293</v>
      </c>
      <c r="B400" s="1">
        <v>45632</v>
      </c>
      <c r="C400" t="s">
        <v>31</v>
      </c>
      <c r="D400" t="s">
        <v>32</v>
      </c>
      <c r="E400" t="s">
        <v>33</v>
      </c>
      <c r="F400" t="s">
        <v>42</v>
      </c>
      <c r="G400" t="s">
        <v>25</v>
      </c>
      <c r="H400" t="s">
        <v>45</v>
      </c>
      <c r="I400" t="s">
        <v>120</v>
      </c>
      <c r="J400" t="s">
        <v>28</v>
      </c>
      <c r="K400">
        <v>4</v>
      </c>
      <c r="L400" s="2">
        <v>7418</v>
      </c>
      <c r="M400" s="2">
        <f>Table1[[#This Row],[Cost_Price]]*Table1[[#This Row],[Quantity_Sold]]</f>
        <v>29672</v>
      </c>
      <c r="N400" s="2">
        <v>11678</v>
      </c>
      <c r="O400" s="5">
        <v>0.05</v>
      </c>
      <c r="P400" s="2">
        <v>46712</v>
      </c>
      <c r="Q400" s="2">
        <v>17040</v>
      </c>
      <c r="R400">
        <v>1</v>
      </c>
    </row>
    <row r="401" spans="1:18" x14ac:dyDescent="0.25">
      <c r="A401" t="s">
        <v>1294</v>
      </c>
      <c r="B401" s="1">
        <v>45458</v>
      </c>
      <c r="C401" t="s">
        <v>82</v>
      </c>
      <c r="D401" t="s">
        <v>83</v>
      </c>
      <c r="E401" t="s">
        <v>51</v>
      </c>
      <c r="F401" t="s">
        <v>73</v>
      </c>
      <c r="G401" t="s">
        <v>44</v>
      </c>
      <c r="H401" t="s">
        <v>35</v>
      </c>
      <c r="I401" t="s">
        <v>103</v>
      </c>
      <c r="J401" t="s">
        <v>36</v>
      </c>
      <c r="K401">
        <v>1</v>
      </c>
      <c r="L401" s="2">
        <v>13645</v>
      </c>
      <c r="M401" s="2">
        <f>Table1[[#This Row],[Cost_Price]]*Table1[[#This Row],[Quantity_Sold]]</f>
        <v>13645</v>
      </c>
      <c r="N401" s="2">
        <v>19752</v>
      </c>
      <c r="O401" s="5">
        <v>0</v>
      </c>
      <c r="P401" s="2">
        <v>19752</v>
      </c>
      <c r="Q401" s="2">
        <v>6107</v>
      </c>
      <c r="R401">
        <v>3</v>
      </c>
    </row>
    <row r="402" spans="1:18" x14ac:dyDescent="0.25">
      <c r="A402" t="s">
        <v>1295</v>
      </c>
      <c r="B402" s="1">
        <v>45579</v>
      </c>
      <c r="C402" t="s">
        <v>96</v>
      </c>
      <c r="D402" t="s">
        <v>97</v>
      </c>
      <c r="E402" t="s">
        <v>51</v>
      </c>
      <c r="F402" t="s">
        <v>42</v>
      </c>
      <c r="G402" t="s">
        <v>25</v>
      </c>
      <c r="H402" t="s">
        <v>35</v>
      </c>
      <c r="I402" t="s">
        <v>27</v>
      </c>
      <c r="J402" t="s">
        <v>28</v>
      </c>
      <c r="K402">
        <v>4</v>
      </c>
      <c r="L402" s="2">
        <v>10216</v>
      </c>
      <c r="M402" s="2">
        <f>Table1[[#This Row],[Cost_Price]]*Table1[[#This Row],[Quantity_Sold]]</f>
        <v>40864</v>
      </c>
      <c r="N402" s="2">
        <v>15426</v>
      </c>
      <c r="O402" s="5">
        <v>0.1</v>
      </c>
      <c r="P402" s="2">
        <v>61704</v>
      </c>
      <c r="Q402" s="2">
        <v>20840</v>
      </c>
      <c r="R402">
        <v>2</v>
      </c>
    </row>
    <row r="403" spans="1:18" x14ac:dyDescent="0.25">
      <c r="A403" t="s">
        <v>1296</v>
      </c>
      <c r="B403" s="1">
        <v>45728</v>
      </c>
      <c r="C403" t="s">
        <v>149</v>
      </c>
      <c r="D403" t="s">
        <v>150</v>
      </c>
      <c r="E403" t="s">
        <v>51</v>
      </c>
      <c r="F403" t="s">
        <v>23</v>
      </c>
      <c r="G403" t="s">
        <v>25</v>
      </c>
      <c r="H403" t="s">
        <v>26</v>
      </c>
      <c r="I403" t="s">
        <v>120</v>
      </c>
      <c r="J403" t="s">
        <v>54</v>
      </c>
      <c r="K403">
        <v>4</v>
      </c>
      <c r="L403" s="2">
        <v>7707</v>
      </c>
      <c r="M403" s="2">
        <f>Table1[[#This Row],[Cost_Price]]*Table1[[#This Row],[Quantity_Sold]]</f>
        <v>30828</v>
      </c>
      <c r="N403" s="2">
        <v>11872</v>
      </c>
      <c r="O403" s="5">
        <v>0</v>
      </c>
      <c r="P403" s="2">
        <v>47488</v>
      </c>
      <c r="Q403" s="2">
        <v>16660</v>
      </c>
      <c r="R403">
        <v>4</v>
      </c>
    </row>
    <row r="404" spans="1:18" x14ac:dyDescent="0.25">
      <c r="A404" t="s">
        <v>1297</v>
      </c>
      <c r="B404" s="1">
        <v>45589</v>
      </c>
      <c r="C404" t="s">
        <v>71</v>
      </c>
      <c r="D404" t="s">
        <v>72</v>
      </c>
      <c r="E404" t="s">
        <v>64</v>
      </c>
      <c r="F404" t="s">
        <v>1110</v>
      </c>
      <c r="G404" t="s">
        <v>44</v>
      </c>
      <c r="H404" t="s">
        <v>45</v>
      </c>
      <c r="I404" t="s">
        <v>103</v>
      </c>
      <c r="J404" t="s">
        <v>54</v>
      </c>
      <c r="K404">
        <v>5</v>
      </c>
      <c r="L404" s="2">
        <v>4780</v>
      </c>
      <c r="M404" s="2">
        <f>Table1[[#This Row],[Cost_Price]]*Table1[[#This Row],[Quantity_Sold]]</f>
        <v>23900</v>
      </c>
      <c r="N404" s="2">
        <v>7645</v>
      </c>
      <c r="O404" s="5">
        <v>0.02</v>
      </c>
      <c r="P404" s="2">
        <v>38225</v>
      </c>
      <c r="Q404" s="2">
        <v>14325</v>
      </c>
      <c r="R404">
        <v>5</v>
      </c>
    </row>
    <row r="405" spans="1:18" x14ac:dyDescent="0.25">
      <c r="A405" t="s">
        <v>1298</v>
      </c>
      <c r="B405" s="1">
        <v>45329</v>
      </c>
      <c r="C405" t="s">
        <v>96</v>
      </c>
      <c r="D405" t="s">
        <v>97</v>
      </c>
      <c r="E405" t="s">
        <v>51</v>
      </c>
      <c r="F405" t="s">
        <v>73</v>
      </c>
      <c r="G405" t="s">
        <v>44</v>
      </c>
      <c r="H405" t="s">
        <v>35</v>
      </c>
      <c r="I405" t="s">
        <v>58</v>
      </c>
      <c r="J405" t="s">
        <v>59</v>
      </c>
      <c r="K405">
        <v>3</v>
      </c>
      <c r="L405" s="2">
        <v>12637</v>
      </c>
      <c r="M405" s="2">
        <f>Table1[[#This Row],[Cost_Price]]*Table1[[#This Row],[Quantity_Sold]]</f>
        <v>37911</v>
      </c>
      <c r="N405" s="2">
        <v>19347</v>
      </c>
      <c r="O405" s="5">
        <v>0</v>
      </c>
      <c r="P405" s="2">
        <v>58041</v>
      </c>
      <c r="Q405" s="2">
        <v>20130</v>
      </c>
      <c r="R405">
        <v>2</v>
      </c>
    </row>
    <row r="406" spans="1:18" x14ac:dyDescent="0.25">
      <c r="A406" t="s">
        <v>1299</v>
      </c>
      <c r="B406" s="1">
        <v>45675</v>
      </c>
      <c r="C406" t="s">
        <v>131</v>
      </c>
      <c r="D406" t="s">
        <v>132</v>
      </c>
      <c r="E406" t="s">
        <v>64</v>
      </c>
      <c r="F406" t="s">
        <v>1110</v>
      </c>
      <c r="G406" t="s">
        <v>44</v>
      </c>
      <c r="H406" t="s">
        <v>35</v>
      </c>
      <c r="I406" t="s">
        <v>120</v>
      </c>
      <c r="J406" t="s">
        <v>36</v>
      </c>
      <c r="K406">
        <v>7</v>
      </c>
      <c r="L406" s="2">
        <v>14016</v>
      </c>
      <c r="M406" s="2">
        <f>Table1[[#This Row],[Cost_Price]]*Table1[[#This Row],[Quantity_Sold]]</f>
        <v>98112</v>
      </c>
      <c r="N406" s="2">
        <v>19284</v>
      </c>
      <c r="O406" s="5">
        <v>0.02</v>
      </c>
      <c r="P406" s="2">
        <v>134988</v>
      </c>
      <c r="Q406" s="2">
        <v>36876</v>
      </c>
      <c r="R406">
        <v>5</v>
      </c>
    </row>
    <row r="407" spans="1:18" x14ac:dyDescent="0.25">
      <c r="A407" t="s">
        <v>1300</v>
      </c>
      <c r="B407" s="1">
        <v>45357</v>
      </c>
      <c r="C407" t="s">
        <v>71</v>
      </c>
      <c r="D407" t="s">
        <v>72</v>
      </c>
      <c r="E407" t="s">
        <v>64</v>
      </c>
      <c r="F407" t="s">
        <v>1110</v>
      </c>
      <c r="G407" t="s">
        <v>44</v>
      </c>
      <c r="H407" t="s">
        <v>26</v>
      </c>
      <c r="I407" t="s">
        <v>27</v>
      </c>
      <c r="J407" t="s">
        <v>36</v>
      </c>
      <c r="K407">
        <v>2</v>
      </c>
      <c r="L407" s="2">
        <v>14713</v>
      </c>
      <c r="M407" s="2">
        <f>Table1[[#This Row],[Cost_Price]]*Table1[[#This Row],[Quantity_Sold]]</f>
        <v>29426</v>
      </c>
      <c r="N407" s="2">
        <v>17070</v>
      </c>
      <c r="O407" s="5">
        <v>0.02</v>
      </c>
      <c r="P407" s="2">
        <v>34140</v>
      </c>
      <c r="Q407" s="2">
        <v>4714</v>
      </c>
      <c r="R407">
        <v>2</v>
      </c>
    </row>
    <row r="408" spans="1:18" x14ac:dyDescent="0.25">
      <c r="A408" t="s">
        <v>1301</v>
      </c>
      <c r="B408" s="1">
        <v>45484</v>
      </c>
      <c r="C408" t="s">
        <v>31</v>
      </c>
      <c r="D408" t="s">
        <v>32</v>
      </c>
      <c r="E408" t="s">
        <v>33</v>
      </c>
      <c r="F408" t="s">
        <v>1110</v>
      </c>
      <c r="G408" t="s">
        <v>25</v>
      </c>
      <c r="H408" t="s">
        <v>45</v>
      </c>
      <c r="I408" t="s">
        <v>58</v>
      </c>
      <c r="J408" t="s">
        <v>28</v>
      </c>
      <c r="K408">
        <v>7</v>
      </c>
      <c r="L408" s="2">
        <v>3891</v>
      </c>
      <c r="M408" s="2">
        <f>Table1[[#This Row],[Cost_Price]]*Table1[[#This Row],[Quantity_Sold]]</f>
        <v>27237</v>
      </c>
      <c r="N408" s="2">
        <v>7879</v>
      </c>
      <c r="O408" s="5">
        <v>0.02</v>
      </c>
      <c r="P408" s="2">
        <v>55153</v>
      </c>
      <c r="Q408" s="2">
        <v>27916</v>
      </c>
      <c r="R408">
        <v>3</v>
      </c>
    </row>
    <row r="409" spans="1:18" x14ac:dyDescent="0.25">
      <c r="A409" t="s">
        <v>1302</v>
      </c>
      <c r="B409" s="1">
        <v>45485</v>
      </c>
      <c r="C409" t="s">
        <v>31</v>
      </c>
      <c r="D409" t="s">
        <v>32</v>
      </c>
      <c r="E409" t="s">
        <v>33</v>
      </c>
      <c r="F409" t="s">
        <v>42</v>
      </c>
      <c r="G409" t="s">
        <v>44</v>
      </c>
      <c r="H409" t="s">
        <v>45</v>
      </c>
      <c r="I409" t="s">
        <v>103</v>
      </c>
      <c r="J409" t="s">
        <v>54</v>
      </c>
      <c r="K409">
        <v>3</v>
      </c>
      <c r="L409" s="2">
        <v>12022</v>
      </c>
      <c r="M409" s="2">
        <f>Table1[[#This Row],[Cost_Price]]*Table1[[#This Row],[Quantity_Sold]]</f>
        <v>36066</v>
      </c>
      <c r="N409" s="2">
        <v>19503</v>
      </c>
      <c r="O409" s="5">
        <v>0</v>
      </c>
      <c r="P409" s="2">
        <v>58509</v>
      </c>
      <c r="Q409" s="2">
        <v>22443</v>
      </c>
      <c r="R409">
        <v>4</v>
      </c>
    </row>
    <row r="410" spans="1:18" x14ac:dyDescent="0.25">
      <c r="A410" t="s">
        <v>1303</v>
      </c>
      <c r="B410" s="1">
        <v>45582</v>
      </c>
      <c r="C410" t="s">
        <v>82</v>
      </c>
      <c r="D410" t="s">
        <v>83</v>
      </c>
      <c r="E410" t="s">
        <v>51</v>
      </c>
      <c r="F410" t="s">
        <v>92</v>
      </c>
      <c r="G410" t="s">
        <v>25</v>
      </c>
      <c r="H410" t="s">
        <v>45</v>
      </c>
      <c r="I410" t="s">
        <v>27</v>
      </c>
      <c r="J410" t="s">
        <v>36</v>
      </c>
      <c r="K410">
        <v>2</v>
      </c>
      <c r="L410" s="2">
        <v>10437</v>
      </c>
      <c r="M410" s="2">
        <f>Table1[[#This Row],[Cost_Price]]*Table1[[#This Row],[Quantity_Sold]]</f>
        <v>20874</v>
      </c>
      <c r="N410" s="2">
        <v>16010</v>
      </c>
      <c r="O410" s="5">
        <v>0.04</v>
      </c>
      <c r="P410" s="2">
        <v>32020</v>
      </c>
      <c r="Q410" s="2">
        <v>11146</v>
      </c>
      <c r="R410">
        <v>2</v>
      </c>
    </row>
    <row r="411" spans="1:18" x14ac:dyDescent="0.25">
      <c r="A411" t="s">
        <v>1304</v>
      </c>
      <c r="B411" s="1">
        <v>45608</v>
      </c>
      <c r="C411" t="s">
        <v>39</v>
      </c>
      <c r="D411" t="s">
        <v>1108</v>
      </c>
      <c r="E411" t="s">
        <v>41</v>
      </c>
      <c r="F411" t="s">
        <v>92</v>
      </c>
      <c r="G411" t="s">
        <v>25</v>
      </c>
      <c r="H411" t="s">
        <v>26</v>
      </c>
      <c r="I411" t="s">
        <v>103</v>
      </c>
      <c r="J411" t="s">
        <v>28</v>
      </c>
      <c r="K411">
        <v>3</v>
      </c>
      <c r="L411" s="2">
        <v>10345</v>
      </c>
      <c r="M411" s="2">
        <f>Table1[[#This Row],[Cost_Price]]*Table1[[#This Row],[Quantity_Sold]]</f>
        <v>31035</v>
      </c>
      <c r="N411" s="2">
        <v>17064</v>
      </c>
      <c r="O411" s="5">
        <v>0.1</v>
      </c>
      <c r="P411" s="2">
        <v>51192</v>
      </c>
      <c r="Q411" s="2">
        <v>20157</v>
      </c>
      <c r="R411">
        <v>2</v>
      </c>
    </row>
    <row r="412" spans="1:18" x14ac:dyDescent="0.25">
      <c r="A412" t="s">
        <v>1305</v>
      </c>
      <c r="B412" s="1">
        <v>45634</v>
      </c>
      <c r="C412" t="s">
        <v>71</v>
      </c>
      <c r="D412" t="s">
        <v>72</v>
      </c>
      <c r="E412" t="s">
        <v>64</v>
      </c>
      <c r="F412" t="s">
        <v>23</v>
      </c>
      <c r="G412" t="s">
        <v>44</v>
      </c>
      <c r="H412" t="s">
        <v>26</v>
      </c>
      <c r="I412" t="s">
        <v>103</v>
      </c>
      <c r="J412" t="s">
        <v>36</v>
      </c>
      <c r="K412">
        <v>7</v>
      </c>
      <c r="L412" s="2">
        <v>14521</v>
      </c>
      <c r="M412" s="2">
        <f>Table1[[#This Row],[Cost_Price]]*Table1[[#This Row],[Quantity_Sold]]</f>
        <v>101647</v>
      </c>
      <c r="N412" s="2">
        <v>17119</v>
      </c>
      <c r="O412" s="5">
        <v>0</v>
      </c>
      <c r="P412" s="2">
        <v>119833</v>
      </c>
      <c r="Q412" s="2">
        <v>18186</v>
      </c>
      <c r="R412" s="3" t="s">
        <v>1110</v>
      </c>
    </row>
    <row r="413" spans="1:18" x14ac:dyDescent="0.25">
      <c r="A413" t="s">
        <v>1306</v>
      </c>
      <c r="B413" s="1">
        <v>45606</v>
      </c>
      <c r="C413" t="s">
        <v>141</v>
      </c>
      <c r="D413" t="s">
        <v>142</v>
      </c>
      <c r="E413" t="s">
        <v>51</v>
      </c>
      <c r="F413" t="s">
        <v>1110</v>
      </c>
      <c r="G413" t="s">
        <v>44</v>
      </c>
      <c r="H413" t="s">
        <v>45</v>
      </c>
      <c r="I413" t="s">
        <v>103</v>
      </c>
      <c r="J413" t="s">
        <v>36</v>
      </c>
      <c r="K413">
        <v>8</v>
      </c>
      <c r="L413" s="2">
        <v>1847</v>
      </c>
      <c r="M413" s="2">
        <f>Table1[[#This Row],[Cost_Price]]*Table1[[#This Row],[Quantity_Sold]]</f>
        <v>14776</v>
      </c>
      <c r="N413" s="2">
        <v>9665</v>
      </c>
      <c r="O413" s="5">
        <v>0.04</v>
      </c>
      <c r="P413" s="2">
        <v>77320</v>
      </c>
      <c r="Q413" s="2">
        <v>62544</v>
      </c>
      <c r="R413">
        <v>3</v>
      </c>
    </row>
    <row r="414" spans="1:18" x14ac:dyDescent="0.25">
      <c r="A414" t="s">
        <v>1307</v>
      </c>
      <c r="B414" s="1">
        <v>45725</v>
      </c>
      <c r="C414" t="s">
        <v>131</v>
      </c>
      <c r="D414" t="s">
        <v>132</v>
      </c>
      <c r="E414" t="s">
        <v>64</v>
      </c>
      <c r="F414" t="s">
        <v>73</v>
      </c>
      <c r="G414" t="s">
        <v>25</v>
      </c>
      <c r="H414" t="s">
        <v>26</v>
      </c>
      <c r="I414" t="s">
        <v>103</v>
      </c>
      <c r="J414" t="s">
        <v>36</v>
      </c>
      <c r="K414">
        <v>3</v>
      </c>
      <c r="L414" s="2">
        <v>12908</v>
      </c>
      <c r="M414" s="2">
        <f>Table1[[#This Row],[Cost_Price]]*Table1[[#This Row],[Quantity_Sold]]</f>
        <v>38724</v>
      </c>
      <c r="N414" s="2">
        <v>19934</v>
      </c>
      <c r="O414" s="5">
        <v>0</v>
      </c>
      <c r="P414" s="2">
        <v>59802</v>
      </c>
      <c r="Q414" s="2">
        <v>21078</v>
      </c>
      <c r="R414">
        <v>2</v>
      </c>
    </row>
    <row r="415" spans="1:18" x14ac:dyDescent="0.25">
      <c r="A415" t="s">
        <v>1308</v>
      </c>
      <c r="B415" s="1">
        <v>45419</v>
      </c>
      <c r="C415" t="s">
        <v>149</v>
      </c>
      <c r="D415" t="s">
        <v>150</v>
      </c>
      <c r="E415" t="s">
        <v>51</v>
      </c>
      <c r="F415" t="s">
        <v>98</v>
      </c>
      <c r="G415" t="s">
        <v>25</v>
      </c>
      <c r="H415" t="s">
        <v>45</v>
      </c>
      <c r="I415" t="s">
        <v>103</v>
      </c>
      <c r="J415" t="s">
        <v>54</v>
      </c>
      <c r="K415">
        <v>6</v>
      </c>
      <c r="L415" s="2">
        <v>9058</v>
      </c>
      <c r="M415" s="2">
        <f>Table1[[#This Row],[Cost_Price]]*Table1[[#This Row],[Quantity_Sold]]</f>
        <v>54348</v>
      </c>
      <c r="N415" s="2">
        <v>14716</v>
      </c>
      <c r="O415" s="5">
        <v>0</v>
      </c>
      <c r="P415" s="2">
        <v>88296</v>
      </c>
      <c r="Q415" s="2">
        <v>33948</v>
      </c>
      <c r="R415">
        <v>2</v>
      </c>
    </row>
    <row r="416" spans="1:18" x14ac:dyDescent="0.25">
      <c r="A416" t="s">
        <v>1309</v>
      </c>
      <c r="B416" s="1">
        <v>45551</v>
      </c>
      <c r="C416" t="s">
        <v>141</v>
      </c>
      <c r="D416" t="s">
        <v>142</v>
      </c>
      <c r="E416" t="s">
        <v>51</v>
      </c>
      <c r="F416" t="s">
        <v>23</v>
      </c>
      <c r="G416" t="s">
        <v>25</v>
      </c>
      <c r="H416" t="s">
        <v>45</v>
      </c>
      <c r="I416" t="s">
        <v>103</v>
      </c>
      <c r="J416" t="s">
        <v>28</v>
      </c>
      <c r="K416">
        <v>2</v>
      </c>
      <c r="L416" s="2">
        <v>14257</v>
      </c>
      <c r="M416" s="2">
        <f>Table1[[#This Row],[Cost_Price]]*Table1[[#This Row],[Quantity_Sold]]</f>
        <v>28514</v>
      </c>
      <c r="N416" s="2">
        <v>17948</v>
      </c>
      <c r="O416" s="5">
        <v>0.04</v>
      </c>
      <c r="P416" s="2">
        <v>35896</v>
      </c>
      <c r="Q416" s="2">
        <v>7382</v>
      </c>
      <c r="R416" s="3" t="s">
        <v>1110</v>
      </c>
    </row>
    <row r="417" spans="1:18" x14ac:dyDescent="0.25">
      <c r="A417" t="s">
        <v>1310</v>
      </c>
      <c r="B417" s="1">
        <v>45485</v>
      </c>
      <c r="C417" t="s">
        <v>39</v>
      </c>
      <c r="D417" t="s">
        <v>1108</v>
      </c>
      <c r="E417" t="s">
        <v>41</v>
      </c>
      <c r="F417" t="s">
        <v>23</v>
      </c>
      <c r="G417" t="s">
        <v>25</v>
      </c>
      <c r="H417" t="s">
        <v>45</v>
      </c>
      <c r="I417" t="s">
        <v>103</v>
      </c>
      <c r="J417" t="s">
        <v>28</v>
      </c>
      <c r="K417">
        <v>6</v>
      </c>
      <c r="L417" s="2">
        <v>13051</v>
      </c>
      <c r="M417" s="2">
        <f>Table1[[#This Row],[Cost_Price]]*Table1[[#This Row],[Quantity_Sold]]</f>
        <v>78306</v>
      </c>
      <c r="N417" s="2">
        <v>16858</v>
      </c>
      <c r="O417" s="5">
        <v>0.1</v>
      </c>
      <c r="P417" s="2">
        <v>101148</v>
      </c>
      <c r="Q417" s="2">
        <v>22842</v>
      </c>
      <c r="R417">
        <v>5</v>
      </c>
    </row>
    <row r="418" spans="1:18" x14ac:dyDescent="0.25">
      <c r="A418" t="s">
        <v>1311</v>
      </c>
      <c r="B418" s="1">
        <v>45580</v>
      </c>
      <c r="C418" t="s">
        <v>31</v>
      </c>
      <c r="D418" t="s">
        <v>32</v>
      </c>
      <c r="E418" t="s">
        <v>33</v>
      </c>
      <c r="F418" t="s">
        <v>23</v>
      </c>
      <c r="G418" t="s">
        <v>44</v>
      </c>
      <c r="H418" t="s">
        <v>35</v>
      </c>
      <c r="I418" t="s">
        <v>103</v>
      </c>
      <c r="J418" t="s">
        <v>54</v>
      </c>
      <c r="K418">
        <v>7</v>
      </c>
      <c r="L418" s="2">
        <v>2302</v>
      </c>
      <c r="M418" s="2">
        <f>Table1[[#This Row],[Cost_Price]]*Table1[[#This Row],[Quantity_Sold]]</f>
        <v>16114</v>
      </c>
      <c r="N418" s="2">
        <v>6014</v>
      </c>
      <c r="O418" s="5">
        <v>0.1</v>
      </c>
      <c r="P418" s="2">
        <v>42098</v>
      </c>
      <c r="Q418" s="2">
        <v>25984</v>
      </c>
      <c r="R418">
        <v>5</v>
      </c>
    </row>
    <row r="419" spans="1:18" x14ac:dyDescent="0.25">
      <c r="A419" t="s">
        <v>1312</v>
      </c>
      <c r="B419" s="1">
        <v>45535</v>
      </c>
      <c r="C419" t="s">
        <v>141</v>
      </c>
      <c r="D419" t="s">
        <v>142</v>
      </c>
      <c r="E419" t="s">
        <v>51</v>
      </c>
      <c r="F419" t="s">
        <v>98</v>
      </c>
      <c r="G419" t="s">
        <v>44</v>
      </c>
      <c r="H419" t="s">
        <v>35</v>
      </c>
      <c r="I419" t="s">
        <v>103</v>
      </c>
      <c r="J419" t="s">
        <v>28</v>
      </c>
      <c r="K419">
        <v>3</v>
      </c>
      <c r="L419" s="2">
        <v>13646</v>
      </c>
      <c r="M419" s="2">
        <f>Table1[[#This Row],[Cost_Price]]*Table1[[#This Row],[Quantity_Sold]]</f>
        <v>40938</v>
      </c>
      <c r="N419" s="2">
        <v>16458</v>
      </c>
      <c r="O419" s="5">
        <v>0.02</v>
      </c>
      <c r="P419" s="2">
        <v>49374</v>
      </c>
      <c r="Q419" s="2">
        <v>8436</v>
      </c>
      <c r="R419">
        <v>5</v>
      </c>
    </row>
    <row r="420" spans="1:18" x14ac:dyDescent="0.25">
      <c r="A420" t="s">
        <v>1313</v>
      </c>
      <c r="B420" s="1">
        <v>45334</v>
      </c>
      <c r="C420" t="s">
        <v>96</v>
      </c>
      <c r="D420" t="s">
        <v>97</v>
      </c>
      <c r="E420" t="s">
        <v>51</v>
      </c>
      <c r="F420" t="s">
        <v>73</v>
      </c>
      <c r="G420" t="s">
        <v>25</v>
      </c>
      <c r="H420" t="s">
        <v>35</v>
      </c>
      <c r="I420" t="s">
        <v>103</v>
      </c>
      <c r="J420" t="s">
        <v>54</v>
      </c>
      <c r="K420">
        <v>6</v>
      </c>
      <c r="L420" s="2">
        <v>13961</v>
      </c>
      <c r="M420" s="2">
        <f>Table1[[#This Row],[Cost_Price]]*Table1[[#This Row],[Quantity_Sold]]</f>
        <v>83766</v>
      </c>
      <c r="N420" s="2">
        <v>19228</v>
      </c>
      <c r="O420" s="5">
        <v>0</v>
      </c>
      <c r="P420" s="2">
        <v>115368</v>
      </c>
      <c r="Q420" s="2">
        <v>31602</v>
      </c>
      <c r="R420">
        <v>1</v>
      </c>
    </row>
    <row r="421" spans="1:18" x14ac:dyDescent="0.25">
      <c r="A421" t="s">
        <v>1314</v>
      </c>
      <c r="B421" s="1">
        <v>45468</v>
      </c>
      <c r="C421" t="s">
        <v>71</v>
      </c>
      <c r="D421" t="s">
        <v>72</v>
      </c>
      <c r="E421" t="s">
        <v>64</v>
      </c>
      <c r="F421" t="s">
        <v>1110</v>
      </c>
      <c r="G421" t="s">
        <v>25</v>
      </c>
      <c r="H421" t="s">
        <v>26</v>
      </c>
      <c r="I421" t="s">
        <v>103</v>
      </c>
      <c r="J421" t="s">
        <v>36</v>
      </c>
      <c r="K421">
        <v>1</v>
      </c>
      <c r="L421" s="2">
        <v>9502</v>
      </c>
      <c r="M421" s="2">
        <f>Table1[[#This Row],[Cost_Price]]*Table1[[#This Row],[Quantity_Sold]]</f>
        <v>9502</v>
      </c>
      <c r="N421" s="2">
        <v>17016</v>
      </c>
      <c r="O421" s="5">
        <v>0.05</v>
      </c>
      <c r="P421" s="2">
        <v>17016</v>
      </c>
      <c r="Q421" s="2">
        <v>7514</v>
      </c>
      <c r="R421">
        <v>2</v>
      </c>
    </row>
    <row r="422" spans="1:18" x14ac:dyDescent="0.25">
      <c r="A422" t="s">
        <v>1315</v>
      </c>
      <c r="B422" s="1">
        <v>45548</v>
      </c>
      <c r="C422" t="s">
        <v>71</v>
      </c>
      <c r="D422" t="s">
        <v>72</v>
      </c>
      <c r="E422" t="s">
        <v>64</v>
      </c>
      <c r="F422" t="s">
        <v>23</v>
      </c>
      <c r="G422" t="s">
        <v>25</v>
      </c>
      <c r="H422" t="s">
        <v>26</v>
      </c>
      <c r="I422" t="s">
        <v>120</v>
      </c>
      <c r="J422" t="s">
        <v>36</v>
      </c>
      <c r="K422">
        <v>6</v>
      </c>
      <c r="L422" s="2">
        <v>14134</v>
      </c>
      <c r="M422" s="2">
        <f>Table1[[#This Row],[Cost_Price]]*Table1[[#This Row],[Quantity_Sold]]</f>
        <v>84804</v>
      </c>
      <c r="N422" s="2">
        <v>15109</v>
      </c>
      <c r="O422" s="5">
        <v>0.05</v>
      </c>
      <c r="P422" s="2">
        <v>90654</v>
      </c>
      <c r="Q422" s="2">
        <v>5850</v>
      </c>
      <c r="R422">
        <v>4</v>
      </c>
    </row>
    <row r="423" spans="1:18" x14ac:dyDescent="0.25">
      <c r="A423" t="s">
        <v>1316</v>
      </c>
      <c r="B423" s="1">
        <v>45326</v>
      </c>
      <c r="C423" t="s">
        <v>87</v>
      </c>
      <c r="D423" t="s">
        <v>88</v>
      </c>
      <c r="E423" t="s">
        <v>33</v>
      </c>
      <c r="F423" t="s">
        <v>1110</v>
      </c>
      <c r="G423" t="s">
        <v>44</v>
      </c>
      <c r="H423" t="s">
        <v>26</v>
      </c>
      <c r="I423" t="s">
        <v>120</v>
      </c>
      <c r="J423" t="s">
        <v>28</v>
      </c>
      <c r="K423">
        <v>7</v>
      </c>
      <c r="L423" s="2">
        <v>14997</v>
      </c>
      <c r="M423" s="2">
        <f>Table1[[#This Row],[Cost_Price]]*Table1[[#This Row],[Quantity_Sold]]</f>
        <v>104979</v>
      </c>
      <c r="N423" s="2">
        <v>22423</v>
      </c>
      <c r="O423" s="5">
        <v>0</v>
      </c>
      <c r="P423" s="2">
        <v>156961</v>
      </c>
      <c r="Q423" s="2">
        <v>51982</v>
      </c>
      <c r="R423" s="3" t="s">
        <v>1110</v>
      </c>
    </row>
    <row r="424" spans="1:18" x14ac:dyDescent="0.25">
      <c r="A424" t="s">
        <v>1317</v>
      </c>
      <c r="B424" s="1">
        <v>45386</v>
      </c>
      <c r="C424" t="s">
        <v>117</v>
      </c>
      <c r="D424" t="s">
        <v>118</v>
      </c>
      <c r="E424" t="s">
        <v>41</v>
      </c>
      <c r="F424" t="s">
        <v>1110</v>
      </c>
      <c r="G424" t="s">
        <v>25</v>
      </c>
      <c r="H424" t="s">
        <v>35</v>
      </c>
      <c r="I424" t="s">
        <v>103</v>
      </c>
      <c r="J424" t="s">
        <v>28</v>
      </c>
      <c r="K424">
        <v>7</v>
      </c>
      <c r="L424" s="2">
        <v>3911</v>
      </c>
      <c r="M424" s="2">
        <f>Table1[[#This Row],[Cost_Price]]*Table1[[#This Row],[Quantity_Sold]]</f>
        <v>27377</v>
      </c>
      <c r="N424" s="2">
        <v>4951</v>
      </c>
      <c r="O424" s="5">
        <v>0</v>
      </c>
      <c r="P424" s="2">
        <v>34657</v>
      </c>
      <c r="Q424" s="2">
        <v>7280</v>
      </c>
      <c r="R424">
        <v>3</v>
      </c>
    </row>
    <row r="425" spans="1:18" x14ac:dyDescent="0.25">
      <c r="A425" t="s">
        <v>1318</v>
      </c>
      <c r="B425" s="1">
        <v>45750</v>
      </c>
      <c r="C425" t="s">
        <v>117</v>
      </c>
      <c r="D425" t="s">
        <v>118</v>
      </c>
      <c r="E425" t="s">
        <v>41</v>
      </c>
      <c r="F425" t="s">
        <v>42</v>
      </c>
      <c r="G425" t="s">
        <v>44</v>
      </c>
      <c r="H425" t="s">
        <v>45</v>
      </c>
      <c r="I425" t="s">
        <v>103</v>
      </c>
      <c r="J425" t="s">
        <v>59</v>
      </c>
      <c r="K425">
        <v>2</v>
      </c>
      <c r="L425" s="2">
        <v>13482</v>
      </c>
      <c r="M425" s="2">
        <f>Table1[[#This Row],[Cost_Price]]*Table1[[#This Row],[Quantity_Sold]]</f>
        <v>26964</v>
      </c>
      <c r="N425" s="2">
        <v>20899</v>
      </c>
      <c r="O425" s="5">
        <v>0.02</v>
      </c>
      <c r="P425" s="2">
        <v>41798</v>
      </c>
      <c r="Q425" s="2">
        <v>14834</v>
      </c>
      <c r="R425">
        <v>4</v>
      </c>
    </row>
    <row r="426" spans="1:18" x14ac:dyDescent="0.25">
      <c r="A426" t="s">
        <v>1319</v>
      </c>
      <c r="B426" s="1">
        <v>45328</v>
      </c>
      <c r="C426" t="s">
        <v>216</v>
      </c>
      <c r="D426" t="s">
        <v>217</v>
      </c>
      <c r="E426" t="s">
        <v>33</v>
      </c>
      <c r="F426" t="s">
        <v>42</v>
      </c>
      <c r="G426" t="s">
        <v>25</v>
      </c>
      <c r="H426" t="s">
        <v>26</v>
      </c>
      <c r="I426" t="s">
        <v>103</v>
      </c>
      <c r="J426" t="s">
        <v>36</v>
      </c>
      <c r="K426">
        <v>4</v>
      </c>
      <c r="L426" s="2">
        <v>11742</v>
      </c>
      <c r="M426" s="2">
        <f>Table1[[#This Row],[Cost_Price]]*Table1[[#This Row],[Quantity_Sold]]</f>
        <v>46968</v>
      </c>
      <c r="N426" s="2">
        <v>17101</v>
      </c>
      <c r="O426" s="5">
        <v>0.04</v>
      </c>
      <c r="P426" s="2">
        <v>68404</v>
      </c>
      <c r="Q426" s="2">
        <v>21436</v>
      </c>
      <c r="R426">
        <v>1</v>
      </c>
    </row>
    <row r="427" spans="1:18" x14ac:dyDescent="0.25">
      <c r="A427" t="s">
        <v>1320</v>
      </c>
      <c r="B427" s="1">
        <v>45544</v>
      </c>
      <c r="C427" t="s">
        <v>241</v>
      </c>
      <c r="D427" t="s">
        <v>1109</v>
      </c>
      <c r="E427" t="s">
        <v>22</v>
      </c>
      <c r="F427" t="s">
        <v>42</v>
      </c>
      <c r="G427" t="s">
        <v>25</v>
      </c>
      <c r="H427" t="s">
        <v>45</v>
      </c>
      <c r="I427" t="s">
        <v>103</v>
      </c>
      <c r="J427" t="s">
        <v>36</v>
      </c>
      <c r="K427">
        <v>5</v>
      </c>
      <c r="L427" s="2">
        <v>11901</v>
      </c>
      <c r="M427" s="2">
        <f>Table1[[#This Row],[Cost_Price]]*Table1[[#This Row],[Quantity_Sold]]</f>
        <v>59505</v>
      </c>
      <c r="N427" s="2">
        <v>18283</v>
      </c>
      <c r="O427" s="5">
        <v>0</v>
      </c>
      <c r="P427" s="2">
        <v>91415</v>
      </c>
      <c r="Q427" s="2">
        <v>31910</v>
      </c>
      <c r="R427">
        <v>5</v>
      </c>
    </row>
    <row r="428" spans="1:18" x14ac:dyDescent="0.25">
      <c r="A428" t="s">
        <v>1321</v>
      </c>
      <c r="B428" s="1">
        <v>45602</v>
      </c>
      <c r="C428" t="s">
        <v>141</v>
      </c>
      <c r="D428" t="s">
        <v>142</v>
      </c>
      <c r="E428" t="s">
        <v>51</v>
      </c>
      <c r="F428" t="s">
        <v>1110</v>
      </c>
      <c r="G428" t="s">
        <v>25</v>
      </c>
      <c r="H428" t="s">
        <v>35</v>
      </c>
      <c r="I428" t="s">
        <v>120</v>
      </c>
      <c r="J428" t="s">
        <v>54</v>
      </c>
      <c r="K428">
        <v>8</v>
      </c>
      <c r="L428" s="2">
        <v>7532</v>
      </c>
      <c r="M428" s="2">
        <f>Table1[[#This Row],[Cost_Price]]*Table1[[#This Row],[Quantity_Sold]]</f>
        <v>60256</v>
      </c>
      <c r="N428" s="2">
        <v>10154</v>
      </c>
      <c r="O428" s="5">
        <v>0.02</v>
      </c>
      <c r="P428" s="2">
        <v>81232</v>
      </c>
      <c r="Q428" s="2">
        <v>20976</v>
      </c>
      <c r="R428">
        <v>3</v>
      </c>
    </row>
    <row r="429" spans="1:18" x14ac:dyDescent="0.25">
      <c r="A429" t="s">
        <v>1322</v>
      </c>
      <c r="B429" s="1">
        <v>45369</v>
      </c>
      <c r="C429" t="s">
        <v>39</v>
      </c>
      <c r="D429" t="s">
        <v>1108</v>
      </c>
      <c r="E429" t="s">
        <v>41</v>
      </c>
      <c r="F429" t="s">
        <v>1110</v>
      </c>
      <c r="G429" t="s">
        <v>44</v>
      </c>
      <c r="H429" t="s">
        <v>26</v>
      </c>
      <c r="I429" t="s">
        <v>103</v>
      </c>
      <c r="J429" t="s">
        <v>54</v>
      </c>
      <c r="K429">
        <v>1</v>
      </c>
      <c r="L429" s="2">
        <v>14405</v>
      </c>
      <c r="M429" s="2">
        <f>Table1[[#This Row],[Cost_Price]]*Table1[[#This Row],[Quantity_Sold]]</f>
        <v>14405</v>
      </c>
      <c r="N429" s="2">
        <v>21885</v>
      </c>
      <c r="O429" s="5">
        <v>0.1</v>
      </c>
      <c r="P429" s="2">
        <v>21885</v>
      </c>
      <c r="Q429" s="2">
        <v>7480</v>
      </c>
      <c r="R429" s="3" t="s">
        <v>1110</v>
      </c>
    </row>
    <row r="430" spans="1:18" x14ac:dyDescent="0.25">
      <c r="A430" t="s">
        <v>1323</v>
      </c>
      <c r="B430" s="1">
        <v>45382</v>
      </c>
      <c r="C430" t="s">
        <v>87</v>
      </c>
      <c r="D430" t="s">
        <v>88</v>
      </c>
      <c r="E430" t="s">
        <v>33</v>
      </c>
      <c r="F430" t="s">
        <v>42</v>
      </c>
      <c r="G430" t="s">
        <v>44</v>
      </c>
      <c r="H430" t="s">
        <v>35</v>
      </c>
      <c r="I430" t="s">
        <v>103</v>
      </c>
      <c r="J430" t="s">
        <v>54</v>
      </c>
      <c r="K430">
        <v>8</v>
      </c>
      <c r="L430" s="2">
        <v>8035</v>
      </c>
      <c r="M430" s="2">
        <f>Table1[[#This Row],[Cost_Price]]*Table1[[#This Row],[Quantity_Sold]]</f>
        <v>64280</v>
      </c>
      <c r="N430" s="2">
        <v>9710</v>
      </c>
      <c r="O430" s="5">
        <v>0.02</v>
      </c>
      <c r="P430" s="2">
        <v>77680</v>
      </c>
      <c r="Q430" s="2">
        <v>13400</v>
      </c>
      <c r="R430">
        <v>4</v>
      </c>
    </row>
    <row r="431" spans="1:18" x14ac:dyDescent="0.25">
      <c r="A431" t="s">
        <v>1324</v>
      </c>
      <c r="B431" s="1">
        <v>45767</v>
      </c>
      <c r="C431" t="s">
        <v>82</v>
      </c>
      <c r="D431" t="s">
        <v>83</v>
      </c>
      <c r="E431" t="s">
        <v>51</v>
      </c>
      <c r="F431" t="s">
        <v>98</v>
      </c>
      <c r="G431" t="s">
        <v>44</v>
      </c>
      <c r="H431" t="s">
        <v>45</v>
      </c>
      <c r="I431" t="s">
        <v>103</v>
      </c>
      <c r="J431" t="s">
        <v>59</v>
      </c>
      <c r="K431">
        <v>7</v>
      </c>
      <c r="L431" s="2">
        <v>14104</v>
      </c>
      <c r="M431" s="2">
        <f>Table1[[#This Row],[Cost_Price]]*Table1[[#This Row],[Quantity_Sold]]</f>
        <v>98728</v>
      </c>
      <c r="N431" s="2">
        <v>21840</v>
      </c>
      <c r="O431" s="5">
        <v>0.04</v>
      </c>
      <c r="P431" s="2">
        <v>152880</v>
      </c>
      <c r="Q431" s="2">
        <v>54152</v>
      </c>
      <c r="R431">
        <v>5</v>
      </c>
    </row>
    <row r="432" spans="1:18" x14ac:dyDescent="0.25">
      <c r="A432" t="s">
        <v>1325</v>
      </c>
      <c r="B432" s="1">
        <v>45713</v>
      </c>
      <c r="C432" t="s">
        <v>62</v>
      </c>
      <c r="D432" t="s">
        <v>63</v>
      </c>
      <c r="E432" t="s">
        <v>64</v>
      </c>
      <c r="F432" t="s">
        <v>42</v>
      </c>
      <c r="G432" t="s">
        <v>25</v>
      </c>
      <c r="H432" t="s">
        <v>35</v>
      </c>
      <c r="I432" t="s">
        <v>103</v>
      </c>
      <c r="J432" t="s">
        <v>28</v>
      </c>
      <c r="K432">
        <v>7</v>
      </c>
      <c r="L432" s="2">
        <v>14260</v>
      </c>
      <c r="M432" s="2">
        <f>Table1[[#This Row],[Cost_Price]]*Table1[[#This Row],[Quantity_Sold]]</f>
        <v>99820</v>
      </c>
      <c r="N432" s="2">
        <v>18997</v>
      </c>
      <c r="O432" s="5">
        <v>0</v>
      </c>
      <c r="P432" s="2">
        <v>132979</v>
      </c>
      <c r="Q432" s="2">
        <v>33159</v>
      </c>
      <c r="R432">
        <v>3</v>
      </c>
    </row>
    <row r="433" spans="1:18" x14ac:dyDescent="0.25">
      <c r="A433" t="s">
        <v>1326</v>
      </c>
      <c r="B433" s="1">
        <v>45354</v>
      </c>
      <c r="C433" t="s">
        <v>278</v>
      </c>
      <c r="D433" t="s">
        <v>279</v>
      </c>
      <c r="E433" t="s">
        <v>64</v>
      </c>
      <c r="F433" t="s">
        <v>92</v>
      </c>
      <c r="G433" t="s">
        <v>25</v>
      </c>
      <c r="H433" t="s">
        <v>45</v>
      </c>
      <c r="I433" t="s">
        <v>120</v>
      </c>
      <c r="J433" t="s">
        <v>59</v>
      </c>
      <c r="K433">
        <v>2</v>
      </c>
      <c r="L433" s="2">
        <v>8739</v>
      </c>
      <c r="M433" s="2">
        <f>Table1[[#This Row],[Cost_Price]]*Table1[[#This Row],[Quantity_Sold]]</f>
        <v>17478</v>
      </c>
      <c r="N433" s="2">
        <v>10962</v>
      </c>
      <c r="O433" s="5">
        <v>0.04</v>
      </c>
      <c r="P433" s="2">
        <v>21924</v>
      </c>
      <c r="Q433" s="2">
        <v>4446</v>
      </c>
      <c r="R433">
        <v>3</v>
      </c>
    </row>
    <row r="434" spans="1:18" x14ac:dyDescent="0.25">
      <c r="A434" t="s">
        <v>1327</v>
      </c>
      <c r="B434" s="1">
        <v>45400</v>
      </c>
      <c r="C434" t="s">
        <v>20</v>
      </c>
      <c r="D434" t="s">
        <v>1107</v>
      </c>
      <c r="E434" t="s">
        <v>22</v>
      </c>
      <c r="F434" t="s">
        <v>73</v>
      </c>
      <c r="G434" t="s">
        <v>25</v>
      </c>
      <c r="H434" t="s">
        <v>45</v>
      </c>
      <c r="I434" t="s">
        <v>103</v>
      </c>
      <c r="J434" t="s">
        <v>28</v>
      </c>
      <c r="K434">
        <v>2</v>
      </c>
      <c r="L434" s="2">
        <v>11829</v>
      </c>
      <c r="M434" s="2">
        <f>Table1[[#This Row],[Cost_Price]]*Table1[[#This Row],[Quantity_Sold]]</f>
        <v>23658</v>
      </c>
      <c r="N434" s="2">
        <v>16986</v>
      </c>
      <c r="O434" s="5">
        <v>0.1</v>
      </c>
      <c r="P434" s="2">
        <v>33972</v>
      </c>
      <c r="Q434" s="2">
        <v>10314</v>
      </c>
      <c r="R434" s="3" t="s">
        <v>1110</v>
      </c>
    </row>
    <row r="435" spans="1:18" x14ac:dyDescent="0.25">
      <c r="A435" t="s">
        <v>1328</v>
      </c>
      <c r="B435" s="1">
        <v>45754</v>
      </c>
      <c r="C435" t="s">
        <v>62</v>
      </c>
      <c r="D435" t="s">
        <v>63</v>
      </c>
      <c r="E435" t="s">
        <v>64</v>
      </c>
      <c r="F435" t="s">
        <v>98</v>
      </c>
      <c r="G435" t="s">
        <v>25</v>
      </c>
      <c r="H435" t="s">
        <v>45</v>
      </c>
      <c r="I435" t="s">
        <v>103</v>
      </c>
      <c r="J435" t="s">
        <v>54</v>
      </c>
      <c r="K435">
        <v>1</v>
      </c>
      <c r="L435" s="2">
        <v>5399</v>
      </c>
      <c r="M435" s="2">
        <f>Table1[[#This Row],[Cost_Price]]*Table1[[#This Row],[Quantity_Sold]]</f>
        <v>5399</v>
      </c>
      <c r="N435" s="2">
        <v>12313</v>
      </c>
      <c r="O435" s="5">
        <v>0.05</v>
      </c>
      <c r="P435" s="2">
        <v>12313</v>
      </c>
      <c r="Q435" s="2">
        <v>6914</v>
      </c>
      <c r="R435">
        <v>4</v>
      </c>
    </row>
    <row r="436" spans="1:18" x14ac:dyDescent="0.25">
      <c r="A436" t="s">
        <v>1329</v>
      </c>
      <c r="B436" s="1">
        <v>45553</v>
      </c>
      <c r="C436" t="s">
        <v>77</v>
      </c>
      <c r="D436" t="s">
        <v>78</v>
      </c>
      <c r="E436" t="s">
        <v>64</v>
      </c>
      <c r="F436" t="s">
        <v>73</v>
      </c>
      <c r="G436" t="s">
        <v>25</v>
      </c>
      <c r="H436" t="s">
        <v>45</v>
      </c>
      <c r="I436" t="s">
        <v>120</v>
      </c>
      <c r="J436" t="s">
        <v>59</v>
      </c>
      <c r="K436">
        <v>1</v>
      </c>
      <c r="L436" s="2">
        <v>14077</v>
      </c>
      <c r="M436" s="2">
        <f>Table1[[#This Row],[Cost_Price]]*Table1[[#This Row],[Quantity_Sold]]</f>
        <v>14077</v>
      </c>
      <c r="N436" s="2">
        <v>16510</v>
      </c>
      <c r="O436" s="5">
        <v>0.1</v>
      </c>
      <c r="P436" s="2">
        <v>16510</v>
      </c>
      <c r="Q436" s="2">
        <v>2433</v>
      </c>
      <c r="R436">
        <v>5</v>
      </c>
    </row>
    <row r="437" spans="1:18" x14ac:dyDescent="0.25">
      <c r="A437" t="s">
        <v>1330</v>
      </c>
      <c r="B437" s="1">
        <v>45777</v>
      </c>
      <c r="C437" t="s">
        <v>241</v>
      </c>
      <c r="D437" t="s">
        <v>1109</v>
      </c>
      <c r="E437" t="s">
        <v>22</v>
      </c>
      <c r="F437" t="s">
        <v>73</v>
      </c>
      <c r="G437" t="s">
        <v>25</v>
      </c>
      <c r="H437" t="s">
        <v>26</v>
      </c>
      <c r="I437" t="s">
        <v>103</v>
      </c>
      <c r="J437" t="s">
        <v>28</v>
      </c>
      <c r="K437">
        <v>3</v>
      </c>
      <c r="L437" s="2">
        <v>2007</v>
      </c>
      <c r="M437" s="2">
        <f>Table1[[#This Row],[Cost_Price]]*Table1[[#This Row],[Quantity_Sold]]</f>
        <v>6021</v>
      </c>
      <c r="N437" s="2">
        <v>4556</v>
      </c>
      <c r="O437" s="5">
        <v>0.05</v>
      </c>
      <c r="P437" s="2">
        <v>13668</v>
      </c>
      <c r="Q437" s="2">
        <v>7647</v>
      </c>
      <c r="R437">
        <v>5</v>
      </c>
    </row>
    <row r="438" spans="1:18" x14ac:dyDescent="0.25">
      <c r="A438" t="s">
        <v>1331</v>
      </c>
      <c r="B438" s="1">
        <v>45355</v>
      </c>
      <c r="C438" t="s">
        <v>39</v>
      </c>
      <c r="D438" t="s">
        <v>1108</v>
      </c>
      <c r="E438" t="s">
        <v>41</v>
      </c>
      <c r="F438" t="s">
        <v>23</v>
      </c>
      <c r="G438" t="s">
        <v>44</v>
      </c>
      <c r="H438" t="s">
        <v>45</v>
      </c>
      <c r="I438" t="s">
        <v>103</v>
      </c>
      <c r="J438" t="s">
        <v>54</v>
      </c>
      <c r="K438">
        <v>7</v>
      </c>
      <c r="L438" s="2">
        <v>6631</v>
      </c>
      <c r="M438" s="2">
        <f>Table1[[#This Row],[Cost_Price]]*Table1[[#This Row],[Quantity_Sold]]</f>
        <v>46417</v>
      </c>
      <c r="N438" s="2">
        <v>14554</v>
      </c>
      <c r="O438" s="5">
        <v>0</v>
      </c>
      <c r="P438" s="2">
        <v>101878</v>
      </c>
      <c r="Q438" s="2">
        <v>55461</v>
      </c>
      <c r="R438">
        <v>1</v>
      </c>
    </row>
    <row r="439" spans="1:18" x14ac:dyDescent="0.25">
      <c r="A439" t="s">
        <v>1332</v>
      </c>
      <c r="B439" s="1">
        <v>45422</v>
      </c>
      <c r="C439" t="s">
        <v>131</v>
      </c>
      <c r="D439" t="s">
        <v>132</v>
      </c>
      <c r="E439" t="s">
        <v>64</v>
      </c>
      <c r="F439" t="s">
        <v>1110</v>
      </c>
      <c r="G439" t="s">
        <v>25</v>
      </c>
      <c r="H439" t="s">
        <v>45</v>
      </c>
      <c r="I439" t="s">
        <v>103</v>
      </c>
      <c r="J439" t="s">
        <v>28</v>
      </c>
      <c r="K439">
        <v>3</v>
      </c>
      <c r="L439" s="2">
        <v>9761</v>
      </c>
      <c r="M439" s="2">
        <f>Table1[[#This Row],[Cost_Price]]*Table1[[#This Row],[Quantity_Sold]]</f>
        <v>29283</v>
      </c>
      <c r="N439" s="2">
        <v>15864</v>
      </c>
      <c r="O439" s="5">
        <v>0.02</v>
      </c>
      <c r="P439" s="2">
        <v>47592</v>
      </c>
      <c r="Q439" s="2">
        <v>18309</v>
      </c>
      <c r="R439">
        <v>4</v>
      </c>
    </row>
    <row r="440" spans="1:18" x14ac:dyDescent="0.25">
      <c r="A440" t="s">
        <v>1333</v>
      </c>
      <c r="B440" s="1">
        <v>45626</v>
      </c>
      <c r="C440" t="s">
        <v>87</v>
      </c>
      <c r="D440" t="s">
        <v>88</v>
      </c>
      <c r="E440" t="s">
        <v>33</v>
      </c>
      <c r="F440" t="s">
        <v>42</v>
      </c>
      <c r="G440" t="s">
        <v>25</v>
      </c>
      <c r="H440" t="s">
        <v>26</v>
      </c>
      <c r="I440" t="s">
        <v>120</v>
      </c>
      <c r="J440" t="s">
        <v>54</v>
      </c>
      <c r="K440">
        <v>3</v>
      </c>
      <c r="L440" s="2">
        <v>5567</v>
      </c>
      <c r="M440" s="2">
        <f>Table1[[#This Row],[Cost_Price]]*Table1[[#This Row],[Quantity_Sold]]</f>
        <v>16701</v>
      </c>
      <c r="N440" s="2">
        <v>7222</v>
      </c>
      <c r="O440" s="5">
        <v>0</v>
      </c>
      <c r="P440" s="2">
        <v>21666</v>
      </c>
      <c r="Q440" s="2">
        <v>4965</v>
      </c>
      <c r="R440">
        <v>2</v>
      </c>
    </row>
    <row r="441" spans="1:18" x14ac:dyDescent="0.25">
      <c r="A441" t="s">
        <v>1334</v>
      </c>
      <c r="B441" s="1">
        <v>45334</v>
      </c>
      <c r="C441" t="s">
        <v>49</v>
      </c>
      <c r="D441" t="s">
        <v>83</v>
      </c>
      <c r="E441" t="s">
        <v>51</v>
      </c>
      <c r="F441" t="s">
        <v>42</v>
      </c>
      <c r="G441" t="s">
        <v>44</v>
      </c>
      <c r="H441" t="s">
        <v>26</v>
      </c>
      <c r="I441" t="s">
        <v>103</v>
      </c>
      <c r="J441" t="s">
        <v>54</v>
      </c>
      <c r="K441">
        <v>2</v>
      </c>
      <c r="L441" s="2">
        <v>6585</v>
      </c>
      <c r="M441" s="2">
        <f>Table1[[#This Row],[Cost_Price]]*Table1[[#This Row],[Quantity_Sold]]</f>
        <v>13170</v>
      </c>
      <c r="N441" s="2">
        <v>13998</v>
      </c>
      <c r="O441" s="5">
        <v>0.05</v>
      </c>
      <c r="P441" s="2">
        <v>27996</v>
      </c>
      <c r="Q441" s="2">
        <v>14826</v>
      </c>
      <c r="R441">
        <v>2</v>
      </c>
    </row>
    <row r="442" spans="1:18" x14ac:dyDescent="0.25">
      <c r="A442" t="s">
        <v>1335</v>
      </c>
      <c r="B442" s="1">
        <v>45459</v>
      </c>
      <c r="C442" t="s">
        <v>106</v>
      </c>
      <c r="D442" t="s">
        <v>107</v>
      </c>
      <c r="E442" t="s">
        <v>41</v>
      </c>
      <c r="F442" t="s">
        <v>23</v>
      </c>
      <c r="G442" t="s">
        <v>44</v>
      </c>
      <c r="H442" t="s">
        <v>26</v>
      </c>
      <c r="I442" t="s">
        <v>103</v>
      </c>
      <c r="J442" t="s">
        <v>59</v>
      </c>
      <c r="K442">
        <v>6</v>
      </c>
      <c r="L442" s="2">
        <v>2814</v>
      </c>
      <c r="M442" s="2">
        <f>Table1[[#This Row],[Cost_Price]]*Table1[[#This Row],[Quantity_Sold]]</f>
        <v>16884</v>
      </c>
      <c r="N442" s="2">
        <v>5889</v>
      </c>
      <c r="O442" s="5">
        <v>0.1</v>
      </c>
      <c r="P442" s="2">
        <v>35334</v>
      </c>
      <c r="Q442" s="2">
        <v>18450</v>
      </c>
      <c r="R442">
        <v>1</v>
      </c>
    </row>
    <row r="443" spans="1:18" x14ac:dyDescent="0.25">
      <c r="A443" t="s">
        <v>1336</v>
      </c>
      <c r="B443" s="1">
        <v>45623</v>
      </c>
      <c r="C443" t="s">
        <v>96</v>
      </c>
      <c r="D443" t="s">
        <v>97</v>
      </c>
      <c r="E443" t="s">
        <v>51</v>
      </c>
      <c r="F443" t="s">
        <v>1110</v>
      </c>
      <c r="G443" t="s">
        <v>25</v>
      </c>
      <c r="H443" t="s">
        <v>26</v>
      </c>
      <c r="I443" t="s">
        <v>103</v>
      </c>
      <c r="J443" t="s">
        <v>28</v>
      </c>
      <c r="K443">
        <v>1</v>
      </c>
      <c r="L443" s="2">
        <v>12699</v>
      </c>
      <c r="M443" s="2">
        <f>Table1[[#This Row],[Cost_Price]]*Table1[[#This Row],[Quantity_Sold]]</f>
        <v>12699</v>
      </c>
      <c r="N443" s="2">
        <v>15641</v>
      </c>
      <c r="O443" s="5">
        <v>0.1</v>
      </c>
      <c r="P443" s="2">
        <v>15641</v>
      </c>
      <c r="Q443" s="2">
        <v>2942</v>
      </c>
      <c r="R443">
        <v>2</v>
      </c>
    </row>
    <row r="444" spans="1:18" x14ac:dyDescent="0.25">
      <c r="A444" t="s">
        <v>1337</v>
      </c>
      <c r="B444" s="1">
        <v>45577</v>
      </c>
      <c r="C444" t="s">
        <v>82</v>
      </c>
      <c r="D444" t="s">
        <v>83</v>
      </c>
      <c r="E444" t="s">
        <v>51</v>
      </c>
      <c r="F444" t="s">
        <v>92</v>
      </c>
      <c r="G444" t="s">
        <v>25</v>
      </c>
      <c r="H444" t="s">
        <v>26</v>
      </c>
      <c r="I444" t="s">
        <v>103</v>
      </c>
      <c r="J444" t="s">
        <v>54</v>
      </c>
      <c r="K444">
        <v>1</v>
      </c>
      <c r="L444" s="2">
        <v>3577</v>
      </c>
      <c r="M444" s="2">
        <f>Table1[[#This Row],[Cost_Price]]*Table1[[#This Row],[Quantity_Sold]]</f>
        <v>3577</v>
      </c>
      <c r="N444" s="2">
        <v>7694</v>
      </c>
      <c r="O444" s="5">
        <v>0</v>
      </c>
      <c r="P444" s="2">
        <v>7694</v>
      </c>
      <c r="Q444" s="2">
        <v>4117</v>
      </c>
      <c r="R444">
        <v>3</v>
      </c>
    </row>
    <row r="445" spans="1:18" x14ac:dyDescent="0.25">
      <c r="A445" t="s">
        <v>1338</v>
      </c>
      <c r="B445" s="1">
        <v>45586</v>
      </c>
      <c r="C445" t="s">
        <v>87</v>
      </c>
      <c r="D445" t="s">
        <v>88</v>
      </c>
      <c r="E445" t="s">
        <v>33</v>
      </c>
      <c r="F445" t="s">
        <v>1110</v>
      </c>
      <c r="G445" t="s">
        <v>25</v>
      </c>
      <c r="H445" t="s">
        <v>26</v>
      </c>
      <c r="I445" t="s">
        <v>103</v>
      </c>
      <c r="J445" t="s">
        <v>36</v>
      </c>
      <c r="K445">
        <v>8</v>
      </c>
      <c r="L445" s="2">
        <v>12881</v>
      </c>
      <c r="M445" s="2">
        <f>Table1[[#This Row],[Cost_Price]]*Table1[[#This Row],[Quantity_Sold]]</f>
        <v>103048</v>
      </c>
      <c r="N445" s="2">
        <v>15801</v>
      </c>
      <c r="O445" s="5">
        <v>0.05</v>
      </c>
      <c r="P445" s="2">
        <v>126408</v>
      </c>
      <c r="Q445" s="2">
        <v>23360</v>
      </c>
      <c r="R445">
        <v>3</v>
      </c>
    </row>
    <row r="446" spans="1:18" x14ac:dyDescent="0.25">
      <c r="A446" t="s">
        <v>1339</v>
      </c>
      <c r="B446" s="1">
        <v>45662</v>
      </c>
      <c r="C446" t="s">
        <v>82</v>
      </c>
      <c r="D446" t="s">
        <v>83</v>
      </c>
      <c r="E446" t="s">
        <v>51</v>
      </c>
      <c r="F446" t="s">
        <v>42</v>
      </c>
      <c r="G446" t="s">
        <v>44</v>
      </c>
      <c r="H446" t="s">
        <v>35</v>
      </c>
      <c r="I446" t="s">
        <v>120</v>
      </c>
      <c r="J446" t="s">
        <v>59</v>
      </c>
      <c r="K446">
        <v>2</v>
      </c>
      <c r="L446" s="2">
        <v>14190</v>
      </c>
      <c r="M446" s="2">
        <f>Table1[[#This Row],[Cost_Price]]*Table1[[#This Row],[Quantity_Sold]]</f>
        <v>28380</v>
      </c>
      <c r="N446" s="2">
        <v>21114</v>
      </c>
      <c r="O446" s="5">
        <v>0.1</v>
      </c>
      <c r="P446" s="2">
        <v>42228</v>
      </c>
      <c r="Q446" s="2">
        <v>13848</v>
      </c>
      <c r="R446">
        <v>2</v>
      </c>
    </row>
    <row r="447" spans="1:18" x14ac:dyDescent="0.25">
      <c r="A447" t="s">
        <v>1340</v>
      </c>
      <c r="B447" s="1">
        <v>45453</v>
      </c>
      <c r="C447" t="s">
        <v>39</v>
      </c>
      <c r="D447" t="s">
        <v>1108</v>
      </c>
      <c r="E447" t="s">
        <v>41</v>
      </c>
      <c r="F447" t="s">
        <v>1110</v>
      </c>
      <c r="G447" t="s">
        <v>25</v>
      </c>
      <c r="H447" t="s">
        <v>26</v>
      </c>
      <c r="I447" t="s">
        <v>58</v>
      </c>
      <c r="J447" t="s">
        <v>36</v>
      </c>
      <c r="K447">
        <v>3</v>
      </c>
      <c r="L447" s="2">
        <v>5834</v>
      </c>
      <c r="M447" s="2">
        <f>Table1[[#This Row],[Cost_Price]]*Table1[[#This Row],[Quantity_Sold]]</f>
        <v>17502</v>
      </c>
      <c r="N447" s="2">
        <v>8801</v>
      </c>
      <c r="O447" s="5">
        <v>0.05</v>
      </c>
      <c r="P447" s="2">
        <v>26403</v>
      </c>
      <c r="Q447" s="2">
        <v>8901</v>
      </c>
      <c r="R447">
        <v>2</v>
      </c>
    </row>
    <row r="448" spans="1:18" x14ac:dyDescent="0.25">
      <c r="A448" t="s">
        <v>1341</v>
      </c>
      <c r="B448" s="1">
        <v>45623</v>
      </c>
      <c r="C448" t="s">
        <v>77</v>
      </c>
      <c r="D448" t="s">
        <v>78</v>
      </c>
      <c r="E448" t="s">
        <v>64</v>
      </c>
      <c r="F448" t="s">
        <v>1110</v>
      </c>
      <c r="G448" t="s">
        <v>25</v>
      </c>
      <c r="H448" t="s">
        <v>35</v>
      </c>
      <c r="I448" t="s">
        <v>27</v>
      </c>
      <c r="J448" t="s">
        <v>36</v>
      </c>
      <c r="K448">
        <v>6</v>
      </c>
      <c r="L448" s="2">
        <v>3082</v>
      </c>
      <c r="M448" s="2">
        <f>Table1[[#This Row],[Cost_Price]]*Table1[[#This Row],[Quantity_Sold]]</f>
        <v>18492</v>
      </c>
      <c r="N448" s="2">
        <v>5198</v>
      </c>
      <c r="O448" s="5">
        <v>0.04</v>
      </c>
      <c r="P448" s="2">
        <v>31188</v>
      </c>
      <c r="Q448" s="2">
        <v>12696</v>
      </c>
      <c r="R448">
        <v>3</v>
      </c>
    </row>
    <row r="449" spans="1:18" x14ac:dyDescent="0.25">
      <c r="A449" t="s">
        <v>1342</v>
      </c>
      <c r="B449" s="1">
        <v>45349</v>
      </c>
      <c r="C449" t="s">
        <v>87</v>
      </c>
      <c r="D449" t="s">
        <v>88</v>
      </c>
      <c r="E449" t="s">
        <v>33</v>
      </c>
      <c r="F449" t="s">
        <v>73</v>
      </c>
      <c r="G449" t="s">
        <v>25</v>
      </c>
      <c r="H449" t="s">
        <v>26</v>
      </c>
      <c r="I449" t="s">
        <v>103</v>
      </c>
      <c r="J449" t="s">
        <v>59</v>
      </c>
      <c r="K449">
        <v>8</v>
      </c>
      <c r="L449" s="2">
        <v>2668</v>
      </c>
      <c r="M449" s="2">
        <f>Table1[[#This Row],[Cost_Price]]*Table1[[#This Row],[Quantity_Sold]]</f>
        <v>21344</v>
      </c>
      <c r="N449" s="2">
        <v>9409</v>
      </c>
      <c r="O449" s="5">
        <v>0.1</v>
      </c>
      <c r="P449" s="2">
        <v>75272</v>
      </c>
      <c r="Q449" s="2">
        <v>53928</v>
      </c>
      <c r="R449">
        <v>5</v>
      </c>
    </row>
    <row r="450" spans="1:18" x14ac:dyDescent="0.25">
      <c r="A450" t="s">
        <v>1343</v>
      </c>
      <c r="B450" s="1">
        <v>45332</v>
      </c>
      <c r="C450" t="s">
        <v>71</v>
      </c>
      <c r="D450" t="s">
        <v>72</v>
      </c>
      <c r="E450" t="s">
        <v>64</v>
      </c>
      <c r="F450" t="s">
        <v>98</v>
      </c>
      <c r="G450" t="s">
        <v>25</v>
      </c>
      <c r="H450" t="s">
        <v>35</v>
      </c>
      <c r="I450" t="s">
        <v>58</v>
      </c>
      <c r="J450" t="s">
        <v>59</v>
      </c>
      <c r="K450">
        <v>1</v>
      </c>
      <c r="L450" s="2">
        <v>8662</v>
      </c>
      <c r="M450" s="2">
        <f>Table1[[#This Row],[Cost_Price]]*Table1[[#This Row],[Quantity_Sold]]</f>
        <v>8662</v>
      </c>
      <c r="N450" s="2">
        <v>14696</v>
      </c>
      <c r="O450" s="5">
        <v>0.04</v>
      </c>
      <c r="P450" s="2">
        <v>14696</v>
      </c>
      <c r="Q450" s="2">
        <v>6034</v>
      </c>
      <c r="R450">
        <v>4</v>
      </c>
    </row>
    <row r="451" spans="1:18" x14ac:dyDescent="0.25">
      <c r="A451" t="s">
        <v>1344</v>
      </c>
      <c r="B451" s="1">
        <v>45575</v>
      </c>
      <c r="C451" t="s">
        <v>77</v>
      </c>
      <c r="D451" t="s">
        <v>78</v>
      </c>
      <c r="E451" t="s">
        <v>64</v>
      </c>
      <c r="F451" t="s">
        <v>42</v>
      </c>
      <c r="G451" t="s">
        <v>25</v>
      </c>
      <c r="H451" t="s">
        <v>45</v>
      </c>
      <c r="I451" t="s">
        <v>103</v>
      </c>
      <c r="J451" t="s">
        <v>36</v>
      </c>
      <c r="K451">
        <v>1</v>
      </c>
      <c r="L451" s="2">
        <v>6975</v>
      </c>
      <c r="M451" s="2">
        <f>Table1[[#This Row],[Cost_Price]]*Table1[[#This Row],[Quantity_Sold]]</f>
        <v>6975</v>
      </c>
      <c r="N451" s="2">
        <v>8601</v>
      </c>
      <c r="O451" s="5">
        <v>0.02</v>
      </c>
      <c r="P451" s="2">
        <v>8601</v>
      </c>
      <c r="Q451" s="2">
        <v>1626</v>
      </c>
      <c r="R451" s="3" t="s">
        <v>1110</v>
      </c>
    </row>
    <row r="452" spans="1:18" x14ac:dyDescent="0.25">
      <c r="A452" t="s">
        <v>1345</v>
      </c>
      <c r="B452" s="1">
        <v>45350</v>
      </c>
      <c r="C452" t="s">
        <v>87</v>
      </c>
      <c r="D452" t="s">
        <v>88</v>
      </c>
      <c r="E452" t="s">
        <v>33</v>
      </c>
      <c r="F452" t="s">
        <v>92</v>
      </c>
      <c r="G452" t="s">
        <v>25</v>
      </c>
      <c r="H452" t="s">
        <v>26</v>
      </c>
      <c r="I452" t="s">
        <v>103</v>
      </c>
      <c r="J452" t="s">
        <v>36</v>
      </c>
      <c r="K452">
        <v>1</v>
      </c>
      <c r="L452" s="2">
        <v>12813</v>
      </c>
      <c r="M452" s="2">
        <f>Table1[[#This Row],[Cost_Price]]*Table1[[#This Row],[Quantity_Sold]]</f>
        <v>12813</v>
      </c>
      <c r="N452" s="2">
        <v>17070</v>
      </c>
      <c r="O452" s="5">
        <v>0</v>
      </c>
      <c r="P452" s="2">
        <v>17070</v>
      </c>
      <c r="Q452" s="2">
        <v>4257</v>
      </c>
      <c r="R452">
        <v>3</v>
      </c>
    </row>
    <row r="453" spans="1:18" x14ac:dyDescent="0.25">
      <c r="A453" t="s">
        <v>1346</v>
      </c>
      <c r="B453" s="1">
        <v>45690</v>
      </c>
      <c r="C453" t="s">
        <v>241</v>
      </c>
      <c r="D453" t="s">
        <v>1109</v>
      </c>
      <c r="E453" t="s">
        <v>22</v>
      </c>
      <c r="F453" t="s">
        <v>98</v>
      </c>
      <c r="G453" t="s">
        <v>25</v>
      </c>
      <c r="H453" t="s">
        <v>35</v>
      </c>
      <c r="I453" t="s">
        <v>103</v>
      </c>
      <c r="J453" t="s">
        <v>59</v>
      </c>
      <c r="K453">
        <v>5</v>
      </c>
      <c r="L453" s="2">
        <v>1572</v>
      </c>
      <c r="M453" s="2">
        <f>Table1[[#This Row],[Cost_Price]]*Table1[[#This Row],[Quantity_Sold]]</f>
        <v>7860</v>
      </c>
      <c r="N453" s="2">
        <v>7910</v>
      </c>
      <c r="O453" s="5">
        <v>0.02</v>
      </c>
      <c r="P453" s="2">
        <v>39550</v>
      </c>
      <c r="Q453" s="2">
        <v>31690</v>
      </c>
      <c r="R453">
        <v>5</v>
      </c>
    </row>
    <row r="454" spans="1:18" x14ac:dyDescent="0.25">
      <c r="A454" t="s">
        <v>1347</v>
      </c>
      <c r="B454" s="1">
        <v>45628</v>
      </c>
      <c r="C454" t="s">
        <v>82</v>
      </c>
      <c r="D454" t="s">
        <v>83</v>
      </c>
      <c r="E454" t="s">
        <v>51</v>
      </c>
      <c r="F454" t="s">
        <v>1110</v>
      </c>
      <c r="G454" t="s">
        <v>44</v>
      </c>
      <c r="H454" t="s">
        <v>45</v>
      </c>
      <c r="I454" t="s">
        <v>120</v>
      </c>
      <c r="J454" t="s">
        <v>28</v>
      </c>
      <c r="K454">
        <v>6</v>
      </c>
      <c r="L454" s="2">
        <v>1814</v>
      </c>
      <c r="M454" s="2">
        <f>Table1[[#This Row],[Cost_Price]]*Table1[[#This Row],[Quantity_Sold]]</f>
        <v>10884</v>
      </c>
      <c r="N454" s="2">
        <v>4275</v>
      </c>
      <c r="O454" s="5">
        <v>0.04</v>
      </c>
      <c r="P454" s="2">
        <v>25650</v>
      </c>
      <c r="Q454" s="2">
        <v>14766</v>
      </c>
      <c r="R454">
        <v>2</v>
      </c>
    </row>
    <row r="455" spans="1:18" x14ac:dyDescent="0.25">
      <c r="A455" t="s">
        <v>1348</v>
      </c>
      <c r="B455" s="1">
        <v>45486</v>
      </c>
      <c r="C455" t="s">
        <v>131</v>
      </c>
      <c r="D455" t="s">
        <v>132</v>
      </c>
      <c r="E455" t="s">
        <v>64</v>
      </c>
      <c r="F455" t="s">
        <v>23</v>
      </c>
      <c r="G455" t="s">
        <v>25</v>
      </c>
      <c r="H455" t="s">
        <v>26</v>
      </c>
      <c r="I455" t="s">
        <v>103</v>
      </c>
      <c r="J455" t="s">
        <v>28</v>
      </c>
      <c r="K455">
        <v>3</v>
      </c>
      <c r="L455" s="2">
        <v>9668</v>
      </c>
      <c r="M455" s="2">
        <f>Table1[[#This Row],[Cost_Price]]*Table1[[#This Row],[Quantity_Sold]]</f>
        <v>29004</v>
      </c>
      <c r="N455" s="2">
        <v>17505</v>
      </c>
      <c r="O455" s="5">
        <v>0.1</v>
      </c>
      <c r="P455" s="2">
        <v>52515</v>
      </c>
      <c r="Q455" s="2">
        <v>23511</v>
      </c>
      <c r="R455">
        <v>3</v>
      </c>
    </row>
    <row r="456" spans="1:18" x14ac:dyDescent="0.25">
      <c r="A456" t="s">
        <v>1349</v>
      </c>
      <c r="B456" s="1">
        <v>45415</v>
      </c>
      <c r="C456" t="s">
        <v>117</v>
      </c>
      <c r="D456" t="s">
        <v>118</v>
      </c>
      <c r="E456" t="s">
        <v>41</v>
      </c>
      <c r="F456" t="s">
        <v>1110</v>
      </c>
      <c r="G456" t="s">
        <v>25</v>
      </c>
      <c r="H456" t="s">
        <v>35</v>
      </c>
      <c r="I456" t="s">
        <v>27</v>
      </c>
      <c r="J456" t="s">
        <v>36</v>
      </c>
      <c r="K456">
        <v>5</v>
      </c>
      <c r="L456" s="2">
        <v>2433</v>
      </c>
      <c r="M456" s="2">
        <f>Table1[[#This Row],[Cost_Price]]*Table1[[#This Row],[Quantity_Sold]]</f>
        <v>12165</v>
      </c>
      <c r="N456" s="2">
        <v>9144</v>
      </c>
      <c r="O456" s="5">
        <v>0</v>
      </c>
      <c r="P456" s="2">
        <v>45720</v>
      </c>
      <c r="Q456" s="2">
        <v>33555</v>
      </c>
      <c r="R456">
        <v>5</v>
      </c>
    </row>
    <row r="457" spans="1:18" x14ac:dyDescent="0.25">
      <c r="A457" t="s">
        <v>1350</v>
      </c>
      <c r="B457" s="1">
        <v>45347</v>
      </c>
      <c r="C457" t="s">
        <v>20</v>
      </c>
      <c r="D457" t="s">
        <v>1107</v>
      </c>
      <c r="E457" t="s">
        <v>22</v>
      </c>
      <c r="F457" t="s">
        <v>73</v>
      </c>
      <c r="G457" t="s">
        <v>44</v>
      </c>
      <c r="H457" t="s">
        <v>45</v>
      </c>
      <c r="I457" t="s">
        <v>120</v>
      </c>
      <c r="J457" t="s">
        <v>54</v>
      </c>
      <c r="K457">
        <v>1</v>
      </c>
      <c r="L457" s="2">
        <v>12735</v>
      </c>
      <c r="M457" s="2">
        <f>Table1[[#This Row],[Cost_Price]]*Table1[[#This Row],[Quantity_Sold]]</f>
        <v>12735</v>
      </c>
      <c r="N457" s="2">
        <v>15598</v>
      </c>
      <c r="O457" s="5">
        <v>0.02</v>
      </c>
      <c r="P457" s="2">
        <v>15598</v>
      </c>
      <c r="Q457" s="2">
        <v>2863</v>
      </c>
      <c r="R457">
        <v>5</v>
      </c>
    </row>
    <row r="458" spans="1:18" x14ac:dyDescent="0.25">
      <c r="A458" t="s">
        <v>1351</v>
      </c>
      <c r="B458" s="1">
        <v>45364</v>
      </c>
      <c r="C458" t="s">
        <v>77</v>
      </c>
      <c r="D458" t="s">
        <v>78</v>
      </c>
      <c r="E458" t="s">
        <v>64</v>
      </c>
      <c r="F458" t="s">
        <v>98</v>
      </c>
      <c r="G458" t="s">
        <v>44</v>
      </c>
      <c r="H458" t="s">
        <v>35</v>
      </c>
      <c r="I458" t="s">
        <v>103</v>
      </c>
      <c r="J458" t="s">
        <v>54</v>
      </c>
      <c r="K458">
        <v>4</v>
      </c>
      <c r="L458" s="2">
        <v>11266</v>
      </c>
      <c r="M458" s="2">
        <f>Table1[[#This Row],[Cost_Price]]*Table1[[#This Row],[Quantity_Sold]]</f>
        <v>45064</v>
      </c>
      <c r="N458" s="2">
        <v>14593</v>
      </c>
      <c r="O458" s="5">
        <v>0.04</v>
      </c>
      <c r="P458" s="2">
        <v>58372</v>
      </c>
      <c r="Q458" s="2">
        <v>13308</v>
      </c>
      <c r="R458" s="3" t="s">
        <v>1110</v>
      </c>
    </row>
    <row r="459" spans="1:18" x14ac:dyDescent="0.25">
      <c r="A459" t="s">
        <v>1352</v>
      </c>
      <c r="B459" s="1">
        <v>45737</v>
      </c>
      <c r="C459" t="s">
        <v>82</v>
      </c>
      <c r="D459" t="s">
        <v>83</v>
      </c>
      <c r="E459" t="s">
        <v>51</v>
      </c>
      <c r="F459" t="s">
        <v>73</v>
      </c>
      <c r="G459" t="s">
        <v>25</v>
      </c>
      <c r="H459" t="s">
        <v>26</v>
      </c>
      <c r="I459" t="s">
        <v>103</v>
      </c>
      <c r="J459" t="s">
        <v>36</v>
      </c>
      <c r="K459">
        <v>8</v>
      </c>
      <c r="L459" s="2">
        <v>11169</v>
      </c>
      <c r="M459" s="2">
        <f>Table1[[#This Row],[Cost_Price]]*Table1[[#This Row],[Quantity_Sold]]</f>
        <v>89352</v>
      </c>
      <c r="N459" s="2">
        <v>17423</v>
      </c>
      <c r="O459" s="5">
        <v>0.1</v>
      </c>
      <c r="P459" s="2">
        <v>139384</v>
      </c>
      <c r="Q459" s="2">
        <v>50032</v>
      </c>
      <c r="R459">
        <v>3</v>
      </c>
    </row>
    <row r="460" spans="1:18" x14ac:dyDescent="0.25">
      <c r="A460" t="s">
        <v>1353</v>
      </c>
      <c r="B460" s="1">
        <v>45815</v>
      </c>
      <c r="C460" t="s">
        <v>117</v>
      </c>
      <c r="D460" t="s">
        <v>118</v>
      </c>
      <c r="E460" t="s">
        <v>41</v>
      </c>
      <c r="F460" t="s">
        <v>98</v>
      </c>
      <c r="G460" t="s">
        <v>25</v>
      </c>
      <c r="H460" t="s">
        <v>26</v>
      </c>
      <c r="I460" t="s">
        <v>103</v>
      </c>
      <c r="J460" t="s">
        <v>59</v>
      </c>
      <c r="K460">
        <v>8</v>
      </c>
      <c r="L460" s="2">
        <v>14204</v>
      </c>
      <c r="M460" s="2">
        <f>Table1[[#This Row],[Cost_Price]]*Table1[[#This Row],[Quantity_Sold]]</f>
        <v>113632</v>
      </c>
      <c r="N460" s="2">
        <v>15509</v>
      </c>
      <c r="O460" s="5">
        <v>0.1</v>
      </c>
      <c r="P460" s="2">
        <v>124072</v>
      </c>
      <c r="Q460" s="2">
        <v>10440</v>
      </c>
      <c r="R460">
        <v>3</v>
      </c>
    </row>
    <row r="461" spans="1:18" x14ac:dyDescent="0.25">
      <c r="A461" t="s">
        <v>1354</v>
      </c>
      <c r="B461" s="1">
        <v>45554</v>
      </c>
      <c r="C461" t="s">
        <v>278</v>
      </c>
      <c r="D461" t="s">
        <v>279</v>
      </c>
      <c r="E461" t="s">
        <v>64</v>
      </c>
      <c r="F461" t="s">
        <v>42</v>
      </c>
      <c r="G461" t="s">
        <v>25</v>
      </c>
      <c r="H461" t="s">
        <v>35</v>
      </c>
      <c r="I461" t="s">
        <v>103</v>
      </c>
      <c r="J461" t="s">
        <v>54</v>
      </c>
      <c r="K461">
        <v>1</v>
      </c>
      <c r="L461" s="2">
        <v>7746</v>
      </c>
      <c r="M461" s="2">
        <f>Table1[[#This Row],[Cost_Price]]*Table1[[#This Row],[Quantity_Sold]]</f>
        <v>7746</v>
      </c>
      <c r="N461" s="2">
        <v>9540</v>
      </c>
      <c r="O461" s="5">
        <v>0.1</v>
      </c>
      <c r="P461" s="2">
        <v>9540</v>
      </c>
      <c r="Q461" s="2">
        <v>1794</v>
      </c>
      <c r="R461">
        <v>1</v>
      </c>
    </row>
    <row r="462" spans="1:18" x14ac:dyDescent="0.25">
      <c r="A462" t="s">
        <v>1355</v>
      </c>
      <c r="B462" s="1">
        <v>45389</v>
      </c>
      <c r="C462" t="s">
        <v>31</v>
      </c>
      <c r="D462" t="s">
        <v>32</v>
      </c>
      <c r="E462" t="s">
        <v>33</v>
      </c>
      <c r="F462" t="s">
        <v>92</v>
      </c>
      <c r="G462" t="s">
        <v>44</v>
      </c>
      <c r="H462" t="s">
        <v>35</v>
      </c>
      <c r="I462" t="s">
        <v>103</v>
      </c>
      <c r="J462" t="s">
        <v>36</v>
      </c>
      <c r="K462">
        <v>4</v>
      </c>
      <c r="L462" s="2">
        <v>3805</v>
      </c>
      <c r="M462" s="2">
        <f>Table1[[#This Row],[Cost_Price]]*Table1[[#This Row],[Quantity_Sold]]</f>
        <v>15220</v>
      </c>
      <c r="N462" s="2">
        <v>8724</v>
      </c>
      <c r="O462" s="5">
        <v>0.04</v>
      </c>
      <c r="P462" s="2">
        <v>34896</v>
      </c>
      <c r="Q462" s="2">
        <v>19676</v>
      </c>
      <c r="R462">
        <v>5</v>
      </c>
    </row>
    <row r="463" spans="1:18" x14ac:dyDescent="0.25">
      <c r="A463" t="s">
        <v>1356</v>
      </c>
      <c r="B463" s="1">
        <v>45773</v>
      </c>
      <c r="C463" t="s">
        <v>62</v>
      </c>
      <c r="D463" t="s">
        <v>63</v>
      </c>
      <c r="E463" t="s">
        <v>64</v>
      </c>
      <c r="F463" t="s">
        <v>92</v>
      </c>
      <c r="G463" t="s">
        <v>44</v>
      </c>
      <c r="H463" t="s">
        <v>26</v>
      </c>
      <c r="I463" t="s">
        <v>103</v>
      </c>
      <c r="J463" t="s">
        <v>54</v>
      </c>
      <c r="K463">
        <v>2</v>
      </c>
      <c r="L463" s="2">
        <v>1330</v>
      </c>
      <c r="M463" s="2">
        <f>Table1[[#This Row],[Cost_Price]]*Table1[[#This Row],[Quantity_Sold]]</f>
        <v>2660</v>
      </c>
      <c r="N463" s="2">
        <v>2801</v>
      </c>
      <c r="O463" s="5">
        <v>0.04</v>
      </c>
      <c r="P463" s="2">
        <v>5602</v>
      </c>
      <c r="Q463" s="2">
        <v>2942</v>
      </c>
      <c r="R463">
        <v>3</v>
      </c>
    </row>
    <row r="464" spans="1:18" x14ac:dyDescent="0.25">
      <c r="A464" t="s">
        <v>1357</v>
      </c>
      <c r="B464" s="1">
        <v>45812</v>
      </c>
      <c r="C464" t="s">
        <v>39</v>
      </c>
      <c r="D464" t="s">
        <v>1108</v>
      </c>
      <c r="E464" t="s">
        <v>41</v>
      </c>
      <c r="F464" t="s">
        <v>98</v>
      </c>
      <c r="G464" t="s">
        <v>25</v>
      </c>
      <c r="H464" t="s">
        <v>26</v>
      </c>
      <c r="I464" t="s">
        <v>58</v>
      </c>
      <c r="J464" t="s">
        <v>28</v>
      </c>
      <c r="K464">
        <v>6</v>
      </c>
      <c r="L464" s="2">
        <v>12582</v>
      </c>
      <c r="M464" s="2">
        <f>Table1[[#This Row],[Cost_Price]]*Table1[[#This Row],[Quantity_Sold]]</f>
        <v>75492</v>
      </c>
      <c r="N464" s="2">
        <v>13751</v>
      </c>
      <c r="O464" s="5">
        <v>0.04</v>
      </c>
      <c r="P464" s="2">
        <v>82506</v>
      </c>
      <c r="Q464" s="2">
        <v>7014</v>
      </c>
      <c r="R464">
        <v>4</v>
      </c>
    </row>
    <row r="465" spans="1:18" x14ac:dyDescent="0.25">
      <c r="A465" t="s">
        <v>1358</v>
      </c>
      <c r="B465" s="1">
        <v>45509</v>
      </c>
      <c r="C465" t="s">
        <v>20</v>
      </c>
      <c r="D465" t="s">
        <v>1107</v>
      </c>
      <c r="E465" t="s">
        <v>22</v>
      </c>
      <c r="F465" t="s">
        <v>98</v>
      </c>
      <c r="G465" t="s">
        <v>25</v>
      </c>
      <c r="H465" t="s">
        <v>45</v>
      </c>
      <c r="I465" t="s">
        <v>120</v>
      </c>
      <c r="J465" t="s">
        <v>54</v>
      </c>
      <c r="K465">
        <v>7</v>
      </c>
      <c r="L465" s="2">
        <v>6871</v>
      </c>
      <c r="M465" s="2">
        <f>Table1[[#This Row],[Cost_Price]]*Table1[[#This Row],[Quantity_Sold]]</f>
        <v>48097</v>
      </c>
      <c r="N465" s="2">
        <v>11988</v>
      </c>
      <c r="O465" s="5">
        <v>0.02</v>
      </c>
      <c r="P465" s="2">
        <v>83916</v>
      </c>
      <c r="Q465" s="2">
        <v>35819</v>
      </c>
      <c r="R465">
        <v>2</v>
      </c>
    </row>
    <row r="466" spans="1:18" x14ac:dyDescent="0.25">
      <c r="A466" t="s">
        <v>1359</v>
      </c>
      <c r="B466" s="1">
        <v>45600</v>
      </c>
      <c r="C466" t="s">
        <v>71</v>
      </c>
      <c r="D466" t="s">
        <v>72</v>
      </c>
      <c r="E466" t="s">
        <v>64</v>
      </c>
      <c r="F466" t="s">
        <v>42</v>
      </c>
      <c r="G466" t="s">
        <v>25</v>
      </c>
      <c r="H466" t="s">
        <v>35</v>
      </c>
      <c r="I466" t="s">
        <v>103</v>
      </c>
      <c r="J466" t="s">
        <v>36</v>
      </c>
      <c r="K466">
        <v>8</v>
      </c>
      <c r="L466" s="2">
        <v>4021</v>
      </c>
      <c r="M466" s="2">
        <f>Table1[[#This Row],[Cost_Price]]*Table1[[#This Row],[Quantity_Sold]]</f>
        <v>32168</v>
      </c>
      <c r="N466" s="2">
        <v>8771</v>
      </c>
      <c r="O466" s="5">
        <v>0.05</v>
      </c>
      <c r="P466" s="2">
        <v>70168</v>
      </c>
      <c r="Q466" s="2">
        <v>38000</v>
      </c>
      <c r="R466">
        <v>3</v>
      </c>
    </row>
    <row r="467" spans="1:18" x14ac:dyDescent="0.25">
      <c r="A467" t="s">
        <v>1360</v>
      </c>
      <c r="B467" s="1">
        <v>45387</v>
      </c>
      <c r="C467" t="s">
        <v>216</v>
      </c>
      <c r="D467" t="s">
        <v>217</v>
      </c>
      <c r="E467" t="s">
        <v>33</v>
      </c>
      <c r="F467" t="s">
        <v>73</v>
      </c>
      <c r="G467" t="s">
        <v>25</v>
      </c>
      <c r="H467" t="s">
        <v>45</v>
      </c>
      <c r="I467" t="s">
        <v>103</v>
      </c>
      <c r="J467" t="s">
        <v>36</v>
      </c>
      <c r="K467">
        <v>8</v>
      </c>
      <c r="L467" s="2">
        <v>6865</v>
      </c>
      <c r="M467" s="2">
        <f>Table1[[#This Row],[Cost_Price]]*Table1[[#This Row],[Quantity_Sold]]</f>
        <v>54920</v>
      </c>
      <c r="N467" s="2">
        <v>8337</v>
      </c>
      <c r="O467" s="5">
        <v>0.02</v>
      </c>
      <c r="P467" s="2">
        <v>66696</v>
      </c>
      <c r="Q467" s="2">
        <v>11776</v>
      </c>
      <c r="R467">
        <v>5</v>
      </c>
    </row>
    <row r="468" spans="1:18" x14ac:dyDescent="0.25">
      <c r="A468" t="s">
        <v>1361</v>
      </c>
      <c r="B468" s="1">
        <v>45379</v>
      </c>
      <c r="C468" t="s">
        <v>31</v>
      </c>
      <c r="D468" t="s">
        <v>32</v>
      </c>
      <c r="E468" t="s">
        <v>33</v>
      </c>
      <c r="F468" t="s">
        <v>92</v>
      </c>
      <c r="G468" t="s">
        <v>25</v>
      </c>
      <c r="H468" t="s">
        <v>26</v>
      </c>
      <c r="I468" t="s">
        <v>58</v>
      </c>
      <c r="J468" t="s">
        <v>54</v>
      </c>
      <c r="K468">
        <v>4</v>
      </c>
      <c r="L468" s="2">
        <v>1242</v>
      </c>
      <c r="M468" s="2">
        <f>Table1[[#This Row],[Cost_Price]]*Table1[[#This Row],[Quantity_Sold]]</f>
        <v>4968</v>
      </c>
      <c r="N468" s="2">
        <v>8566</v>
      </c>
      <c r="O468" s="5">
        <v>0.04</v>
      </c>
      <c r="P468" s="2">
        <v>34264</v>
      </c>
      <c r="Q468" s="2">
        <v>29296</v>
      </c>
      <c r="R468">
        <v>2</v>
      </c>
    </row>
    <row r="469" spans="1:18" x14ac:dyDescent="0.25">
      <c r="A469" t="s">
        <v>1362</v>
      </c>
      <c r="B469" s="1">
        <v>45547</v>
      </c>
      <c r="C469" t="s">
        <v>71</v>
      </c>
      <c r="D469" t="s">
        <v>72</v>
      </c>
      <c r="E469" t="s">
        <v>64</v>
      </c>
      <c r="F469" t="s">
        <v>73</v>
      </c>
      <c r="G469" t="s">
        <v>25</v>
      </c>
      <c r="H469" t="s">
        <v>35</v>
      </c>
      <c r="I469" t="s">
        <v>103</v>
      </c>
      <c r="J469" t="s">
        <v>28</v>
      </c>
      <c r="K469">
        <v>5</v>
      </c>
      <c r="L469" s="2">
        <v>10047</v>
      </c>
      <c r="M469" s="2">
        <f>Table1[[#This Row],[Cost_Price]]*Table1[[#This Row],[Quantity_Sold]]</f>
        <v>50235</v>
      </c>
      <c r="N469" s="2">
        <v>16401</v>
      </c>
      <c r="O469" s="5">
        <v>0</v>
      </c>
      <c r="P469" s="2">
        <v>82005</v>
      </c>
      <c r="Q469" s="2">
        <v>31770</v>
      </c>
      <c r="R469">
        <v>4</v>
      </c>
    </row>
    <row r="470" spans="1:18" x14ac:dyDescent="0.25">
      <c r="A470" t="s">
        <v>1363</v>
      </c>
      <c r="B470" s="1">
        <v>45376</v>
      </c>
      <c r="C470" t="s">
        <v>96</v>
      </c>
      <c r="D470" t="s">
        <v>97</v>
      </c>
      <c r="E470" t="s">
        <v>51</v>
      </c>
      <c r="F470" t="s">
        <v>23</v>
      </c>
      <c r="G470" t="s">
        <v>44</v>
      </c>
      <c r="H470" t="s">
        <v>45</v>
      </c>
      <c r="I470" t="s">
        <v>120</v>
      </c>
      <c r="J470" t="s">
        <v>28</v>
      </c>
      <c r="K470">
        <v>1</v>
      </c>
      <c r="L470" s="2">
        <v>6073</v>
      </c>
      <c r="M470" s="2">
        <f>Table1[[#This Row],[Cost_Price]]*Table1[[#This Row],[Quantity_Sold]]</f>
        <v>6073</v>
      </c>
      <c r="N470" s="2">
        <v>8434</v>
      </c>
      <c r="O470" s="5">
        <v>0.02</v>
      </c>
      <c r="P470" s="2">
        <v>8434</v>
      </c>
      <c r="Q470" s="2">
        <v>2361</v>
      </c>
      <c r="R470">
        <v>5</v>
      </c>
    </row>
    <row r="471" spans="1:18" x14ac:dyDescent="0.25">
      <c r="A471" t="s">
        <v>1364</v>
      </c>
      <c r="B471" s="1">
        <v>45824</v>
      </c>
      <c r="C471" t="s">
        <v>149</v>
      </c>
      <c r="D471" t="s">
        <v>150</v>
      </c>
      <c r="E471" t="s">
        <v>51</v>
      </c>
      <c r="F471" t="s">
        <v>92</v>
      </c>
      <c r="G471" t="s">
        <v>25</v>
      </c>
      <c r="H471" t="s">
        <v>35</v>
      </c>
      <c r="I471" t="s">
        <v>103</v>
      </c>
      <c r="J471" t="s">
        <v>54</v>
      </c>
      <c r="K471">
        <v>5</v>
      </c>
      <c r="L471" s="2">
        <v>2393</v>
      </c>
      <c r="M471" s="2">
        <f>Table1[[#This Row],[Cost_Price]]*Table1[[#This Row],[Quantity_Sold]]</f>
        <v>11965</v>
      </c>
      <c r="N471" s="2">
        <v>6029</v>
      </c>
      <c r="O471" s="5">
        <v>0.1</v>
      </c>
      <c r="P471" s="2">
        <v>30145</v>
      </c>
      <c r="Q471" s="2">
        <v>18180</v>
      </c>
      <c r="R471">
        <v>4</v>
      </c>
    </row>
    <row r="472" spans="1:18" x14ac:dyDescent="0.25">
      <c r="A472" t="s">
        <v>1365</v>
      </c>
      <c r="B472" s="1">
        <v>45653</v>
      </c>
      <c r="C472" t="s">
        <v>106</v>
      </c>
      <c r="D472" t="s">
        <v>107</v>
      </c>
      <c r="E472" t="s">
        <v>41</v>
      </c>
      <c r="F472" t="s">
        <v>23</v>
      </c>
      <c r="G472" t="s">
        <v>25</v>
      </c>
      <c r="H472" t="s">
        <v>35</v>
      </c>
      <c r="I472" t="s">
        <v>103</v>
      </c>
      <c r="J472" t="s">
        <v>28</v>
      </c>
      <c r="K472">
        <v>2</v>
      </c>
      <c r="L472" s="2">
        <v>13664</v>
      </c>
      <c r="M472" s="2">
        <f>Table1[[#This Row],[Cost_Price]]*Table1[[#This Row],[Quantity_Sold]]</f>
        <v>27328</v>
      </c>
      <c r="N472" s="2">
        <v>16763</v>
      </c>
      <c r="O472" s="5">
        <v>0.02</v>
      </c>
      <c r="P472" s="2">
        <v>33526</v>
      </c>
      <c r="Q472" s="2">
        <v>6198</v>
      </c>
      <c r="R472" s="3" t="s">
        <v>1110</v>
      </c>
    </row>
    <row r="473" spans="1:18" x14ac:dyDescent="0.25">
      <c r="A473" t="s">
        <v>1366</v>
      </c>
      <c r="B473" s="1">
        <v>45615</v>
      </c>
      <c r="C473" t="s">
        <v>49</v>
      </c>
      <c r="D473" t="s">
        <v>83</v>
      </c>
      <c r="E473" t="s">
        <v>51</v>
      </c>
      <c r="F473" t="s">
        <v>1110</v>
      </c>
      <c r="G473" t="s">
        <v>44</v>
      </c>
      <c r="H473" t="s">
        <v>45</v>
      </c>
      <c r="I473" t="s">
        <v>103</v>
      </c>
      <c r="J473" t="s">
        <v>59</v>
      </c>
      <c r="K473">
        <v>4</v>
      </c>
      <c r="L473" s="2">
        <v>14009</v>
      </c>
      <c r="M473" s="2">
        <f>Table1[[#This Row],[Cost_Price]]*Table1[[#This Row],[Quantity_Sold]]</f>
        <v>56036</v>
      </c>
      <c r="N473" s="2">
        <v>15010</v>
      </c>
      <c r="O473" s="5">
        <v>0.02</v>
      </c>
      <c r="P473" s="2">
        <v>60040</v>
      </c>
      <c r="Q473" s="2">
        <v>4004</v>
      </c>
      <c r="R473">
        <v>3</v>
      </c>
    </row>
    <row r="474" spans="1:18" x14ac:dyDescent="0.25">
      <c r="A474" t="s">
        <v>1367</v>
      </c>
      <c r="B474" s="1">
        <v>45520</v>
      </c>
      <c r="C474" t="s">
        <v>20</v>
      </c>
      <c r="D474" t="s">
        <v>1107</v>
      </c>
      <c r="E474" t="s">
        <v>22</v>
      </c>
      <c r="F474" t="s">
        <v>98</v>
      </c>
      <c r="G474" t="s">
        <v>44</v>
      </c>
      <c r="H474" t="s">
        <v>26</v>
      </c>
      <c r="I474" t="s">
        <v>103</v>
      </c>
      <c r="J474" t="s">
        <v>28</v>
      </c>
      <c r="K474">
        <v>1</v>
      </c>
      <c r="L474" s="2">
        <v>2043</v>
      </c>
      <c r="M474" s="2">
        <f>Table1[[#This Row],[Cost_Price]]*Table1[[#This Row],[Quantity_Sold]]</f>
        <v>2043</v>
      </c>
      <c r="N474" s="2">
        <v>5016</v>
      </c>
      <c r="O474" s="5">
        <v>0.02</v>
      </c>
      <c r="P474" s="2">
        <v>5016</v>
      </c>
      <c r="Q474" s="2">
        <v>2973</v>
      </c>
      <c r="R474">
        <v>1</v>
      </c>
    </row>
    <row r="475" spans="1:18" x14ac:dyDescent="0.25">
      <c r="A475" t="s">
        <v>1368</v>
      </c>
      <c r="B475" s="1">
        <v>45406</v>
      </c>
      <c r="C475" t="s">
        <v>141</v>
      </c>
      <c r="D475" t="s">
        <v>142</v>
      </c>
      <c r="E475" t="s">
        <v>51</v>
      </c>
      <c r="F475" t="s">
        <v>98</v>
      </c>
      <c r="G475" t="s">
        <v>25</v>
      </c>
      <c r="H475" t="s">
        <v>45</v>
      </c>
      <c r="I475" t="s">
        <v>103</v>
      </c>
      <c r="J475" t="s">
        <v>28</v>
      </c>
      <c r="K475">
        <v>8</v>
      </c>
      <c r="L475" s="2">
        <v>2270</v>
      </c>
      <c r="M475" s="2">
        <f>Table1[[#This Row],[Cost_Price]]*Table1[[#This Row],[Quantity_Sold]]</f>
        <v>18160</v>
      </c>
      <c r="N475" s="2">
        <v>8685</v>
      </c>
      <c r="O475" s="5">
        <v>0.04</v>
      </c>
      <c r="P475" s="2">
        <v>69480</v>
      </c>
      <c r="Q475" s="2">
        <v>51320</v>
      </c>
      <c r="R475">
        <v>1</v>
      </c>
    </row>
    <row r="476" spans="1:18" x14ac:dyDescent="0.25">
      <c r="A476" t="s">
        <v>1369</v>
      </c>
      <c r="B476" s="1">
        <v>45350</v>
      </c>
      <c r="C476" t="s">
        <v>96</v>
      </c>
      <c r="D476" t="s">
        <v>97</v>
      </c>
      <c r="E476" t="s">
        <v>51</v>
      </c>
      <c r="F476" t="s">
        <v>23</v>
      </c>
      <c r="G476" t="s">
        <v>25</v>
      </c>
      <c r="H476" t="s">
        <v>35</v>
      </c>
      <c r="I476" t="s">
        <v>103</v>
      </c>
      <c r="J476" t="s">
        <v>54</v>
      </c>
      <c r="K476">
        <v>7</v>
      </c>
      <c r="L476" s="2">
        <v>11250</v>
      </c>
      <c r="M476" s="2">
        <f>Table1[[#This Row],[Cost_Price]]*Table1[[#This Row],[Quantity_Sold]]</f>
        <v>78750</v>
      </c>
      <c r="N476" s="2">
        <v>12570</v>
      </c>
      <c r="O476" s="5">
        <v>0.04</v>
      </c>
      <c r="P476" s="2">
        <v>87990</v>
      </c>
      <c r="Q476" s="2">
        <v>9240</v>
      </c>
      <c r="R476">
        <v>3</v>
      </c>
    </row>
    <row r="477" spans="1:18" x14ac:dyDescent="0.25">
      <c r="A477" t="s">
        <v>1370</v>
      </c>
      <c r="B477" s="1">
        <v>45627</v>
      </c>
      <c r="C477" t="s">
        <v>71</v>
      </c>
      <c r="D477" t="s">
        <v>72</v>
      </c>
      <c r="E477" t="s">
        <v>64</v>
      </c>
      <c r="F477" t="s">
        <v>73</v>
      </c>
      <c r="G477" t="s">
        <v>25</v>
      </c>
      <c r="H477" t="s">
        <v>26</v>
      </c>
      <c r="I477" t="s">
        <v>103</v>
      </c>
      <c r="J477" t="s">
        <v>59</v>
      </c>
      <c r="K477">
        <v>7</v>
      </c>
      <c r="L477" s="2">
        <v>2829</v>
      </c>
      <c r="M477" s="2">
        <f>Table1[[#This Row],[Cost_Price]]*Table1[[#This Row],[Quantity_Sold]]</f>
        <v>19803</v>
      </c>
      <c r="N477" s="2">
        <v>7632</v>
      </c>
      <c r="O477" s="5">
        <v>0.1</v>
      </c>
      <c r="P477" s="2">
        <v>53424</v>
      </c>
      <c r="Q477" s="2">
        <v>33621</v>
      </c>
      <c r="R477" s="3" t="s">
        <v>1110</v>
      </c>
    </row>
    <row r="478" spans="1:18" x14ac:dyDescent="0.25">
      <c r="A478" t="s">
        <v>1371</v>
      </c>
      <c r="B478" s="1">
        <v>45590</v>
      </c>
      <c r="C478" t="s">
        <v>117</v>
      </c>
      <c r="D478" t="s">
        <v>118</v>
      </c>
      <c r="E478" t="s">
        <v>41</v>
      </c>
      <c r="F478" t="s">
        <v>92</v>
      </c>
      <c r="G478" t="s">
        <v>25</v>
      </c>
      <c r="H478" t="s">
        <v>35</v>
      </c>
      <c r="I478" t="s">
        <v>120</v>
      </c>
      <c r="J478" t="s">
        <v>28</v>
      </c>
      <c r="K478">
        <v>2</v>
      </c>
      <c r="L478" s="2">
        <v>4656</v>
      </c>
      <c r="M478" s="2">
        <f>Table1[[#This Row],[Cost_Price]]*Table1[[#This Row],[Quantity_Sold]]</f>
        <v>9312</v>
      </c>
      <c r="N478" s="2">
        <v>8856</v>
      </c>
      <c r="O478" s="5">
        <v>0.02</v>
      </c>
      <c r="P478" s="2">
        <v>17712</v>
      </c>
      <c r="Q478" s="2">
        <v>8400</v>
      </c>
      <c r="R478">
        <v>5</v>
      </c>
    </row>
    <row r="479" spans="1:18" x14ac:dyDescent="0.25">
      <c r="A479" t="s">
        <v>1372</v>
      </c>
      <c r="B479" s="1">
        <v>45720</v>
      </c>
      <c r="C479" t="s">
        <v>31</v>
      </c>
      <c r="D479" t="s">
        <v>32</v>
      </c>
      <c r="E479" t="s">
        <v>33</v>
      </c>
      <c r="F479" t="s">
        <v>98</v>
      </c>
      <c r="G479" t="s">
        <v>25</v>
      </c>
      <c r="H479" t="s">
        <v>26</v>
      </c>
      <c r="I479" t="s">
        <v>120</v>
      </c>
      <c r="J479" t="s">
        <v>59</v>
      </c>
      <c r="K479">
        <v>5</v>
      </c>
      <c r="L479" s="2">
        <v>8171</v>
      </c>
      <c r="M479" s="2">
        <f>Table1[[#This Row],[Cost_Price]]*Table1[[#This Row],[Quantity_Sold]]</f>
        <v>40855</v>
      </c>
      <c r="N479" s="2">
        <v>10948</v>
      </c>
      <c r="O479" s="5">
        <v>0.04</v>
      </c>
      <c r="P479" s="2">
        <v>54740</v>
      </c>
      <c r="Q479" s="2">
        <v>13885</v>
      </c>
      <c r="R479">
        <v>3</v>
      </c>
    </row>
    <row r="480" spans="1:18" x14ac:dyDescent="0.25">
      <c r="A480" t="s">
        <v>1373</v>
      </c>
      <c r="B480" s="1">
        <v>45825</v>
      </c>
      <c r="C480" t="s">
        <v>77</v>
      </c>
      <c r="D480" t="s">
        <v>78</v>
      </c>
      <c r="E480" t="s">
        <v>64</v>
      </c>
      <c r="F480" t="s">
        <v>92</v>
      </c>
      <c r="G480" t="s">
        <v>44</v>
      </c>
      <c r="H480" t="s">
        <v>35</v>
      </c>
      <c r="I480" t="s">
        <v>27</v>
      </c>
      <c r="J480" t="s">
        <v>28</v>
      </c>
      <c r="K480">
        <v>4</v>
      </c>
      <c r="L480" s="2">
        <v>1795</v>
      </c>
      <c r="M480" s="2">
        <f>Table1[[#This Row],[Cost_Price]]*Table1[[#This Row],[Quantity_Sold]]</f>
        <v>7180</v>
      </c>
      <c r="N480" s="2">
        <v>8058</v>
      </c>
      <c r="O480" s="5">
        <v>0</v>
      </c>
      <c r="P480" s="2">
        <v>32232</v>
      </c>
      <c r="Q480" s="2">
        <v>25052</v>
      </c>
      <c r="R480">
        <v>2</v>
      </c>
    </row>
    <row r="481" spans="1:18" x14ac:dyDescent="0.25">
      <c r="A481" t="s">
        <v>1374</v>
      </c>
      <c r="B481" s="1">
        <v>45794</v>
      </c>
      <c r="C481" t="s">
        <v>39</v>
      </c>
      <c r="D481" t="s">
        <v>1108</v>
      </c>
      <c r="E481" t="s">
        <v>41</v>
      </c>
      <c r="F481" t="s">
        <v>1110</v>
      </c>
      <c r="G481" t="s">
        <v>25</v>
      </c>
      <c r="H481" t="s">
        <v>35</v>
      </c>
      <c r="I481" t="s">
        <v>120</v>
      </c>
      <c r="J481" t="s">
        <v>28</v>
      </c>
      <c r="K481">
        <v>5</v>
      </c>
      <c r="L481" s="2">
        <v>8586</v>
      </c>
      <c r="M481" s="2">
        <f>Table1[[#This Row],[Cost_Price]]*Table1[[#This Row],[Quantity_Sold]]</f>
        <v>42930</v>
      </c>
      <c r="N481" s="2">
        <v>9661</v>
      </c>
      <c r="O481" s="5">
        <v>0.04</v>
      </c>
      <c r="P481" s="2">
        <v>48305</v>
      </c>
      <c r="Q481" s="2">
        <v>5375</v>
      </c>
      <c r="R481">
        <v>3</v>
      </c>
    </row>
    <row r="482" spans="1:18" x14ac:dyDescent="0.25">
      <c r="A482" t="s">
        <v>1375</v>
      </c>
      <c r="B482" s="1">
        <v>45295</v>
      </c>
      <c r="C482" t="s">
        <v>278</v>
      </c>
      <c r="D482" t="s">
        <v>279</v>
      </c>
      <c r="E482" t="s">
        <v>64</v>
      </c>
      <c r="F482" t="s">
        <v>73</v>
      </c>
      <c r="G482" t="s">
        <v>25</v>
      </c>
      <c r="H482" t="s">
        <v>26</v>
      </c>
      <c r="I482" t="s">
        <v>103</v>
      </c>
      <c r="J482" t="s">
        <v>28</v>
      </c>
      <c r="K482">
        <v>2</v>
      </c>
      <c r="L482" s="2">
        <v>4680</v>
      </c>
      <c r="M482" s="2">
        <f>Table1[[#This Row],[Cost_Price]]*Table1[[#This Row],[Quantity_Sold]]</f>
        <v>9360</v>
      </c>
      <c r="N482" s="2">
        <v>12285</v>
      </c>
      <c r="O482" s="5">
        <v>0.02</v>
      </c>
      <c r="P482" s="2">
        <v>24570</v>
      </c>
      <c r="Q482" s="2">
        <v>15210</v>
      </c>
      <c r="R482" s="3" t="s">
        <v>1110</v>
      </c>
    </row>
    <row r="483" spans="1:18" x14ac:dyDescent="0.25">
      <c r="A483" t="s">
        <v>1376</v>
      </c>
      <c r="B483" s="1">
        <v>45687</v>
      </c>
      <c r="C483" t="s">
        <v>117</v>
      </c>
      <c r="D483" t="s">
        <v>118</v>
      </c>
      <c r="E483" t="s">
        <v>41</v>
      </c>
      <c r="F483" t="s">
        <v>42</v>
      </c>
      <c r="G483" t="s">
        <v>44</v>
      </c>
      <c r="H483" t="s">
        <v>45</v>
      </c>
      <c r="I483" t="s">
        <v>103</v>
      </c>
      <c r="J483" t="s">
        <v>36</v>
      </c>
      <c r="K483">
        <v>5</v>
      </c>
      <c r="L483" s="2">
        <v>6269</v>
      </c>
      <c r="M483" s="2">
        <f>Table1[[#This Row],[Cost_Price]]*Table1[[#This Row],[Quantity_Sold]]</f>
        <v>31345</v>
      </c>
      <c r="N483" s="2">
        <v>12377</v>
      </c>
      <c r="O483" s="5">
        <v>0.05</v>
      </c>
      <c r="P483" s="2">
        <v>61885</v>
      </c>
      <c r="Q483" s="2">
        <v>30540</v>
      </c>
      <c r="R483">
        <v>4</v>
      </c>
    </row>
    <row r="484" spans="1:18" x14ac:dyDescent="0.25">
      <c r="A484" t="s">
        <v>1377</v>
      </c>
      <c r="B484" s="1">
        <v>45458</v>
      </c>
      <c r="C484" t="s">
        <v>82</v>
      </c>
      <c r="D484" t="s">
        <v>83</v>
      </c>
      <c r="E484" t="s">
        <v>51</v>
      </c>
      <c r="F484" t="s">
        <v>73</v>
      </c>
      <c r="G484" t="s">
        <v>44</v>
      </c>
      <c r="H484" t="s">
        <v>35</v>
      </c>
      <c r="I484" t="s">
        <v>27</v>
      </c>
      <c r="J484" t="s">
        <v>54</v>
      </c>
      <c r="K484">
        <v>3</v>
      </c>
      <c r="L484" s="2">
        <v>9176</v>
      </c>
      <c r="M484" s="2">
        <f>Table1[[#This Row],[Cost_Price]]*Table1[[#This Row],[Quantity_Sold]]</f>
        <v>27528</v>
      </c>
      <c r="N484" s="2">
        <v>12938</v>
      </c>
      <c r="O484" s="5">
        <v>0</v>
      </c>
      <c r="P484" s="2">
        <v>38814</v>
      </c>
      <c r="Q484" s="2">
        <v>11286</v>
      </c>
      <c r="R484">
        <v>3</v>
      </c>
    </row>
    <row r="485" spans="1:18" x14ac:dyDescent="0.25">
      <c r="A485" t="s">
        <v>1378</v>
      </c>
      <c r="B485" s="1">
        <v>45484</v>
      </c>
      <c r="C485" t="s">
        <v>216</v>
      </c>
      <c r="D485" t="s">
        <v>217</v>
      </c>
      <c r="E485" t="s">
        <v>33</v>
      </c>
      <c r="F485" t="s">
        <v>42</v>
      </c>
      <c r="G485" t="s">
        <v>44</v>
      </c>
      <c r="H485" t="s">
        <v>26</v>
      </c>
      <c r="I485" t="s">
        <v>103</v>
      </c>
      <c r="J485" t="s">
        <v>28</v>
      </c>
      <c r="K485">
        <v>1</v>
      </c>
      <c r="L485" s="2">
        <v>9353</v>
      </c>
      <c r="M485" s="2">
        <f>Table1[[#This Row],[Cost_Price]]*Table1[[#This Row],[Quantity_Sold]]</f>
        <v>9353</v>
      </c>
      <c r="N485" s="2">
        <v>15720</v>
      </c>
      <c r="O485" s="5">
        <v>0.1</v>
      </c>
      <c r="P485" s="2">
        <v>15720</v>
      </c>
      <c r="Q485" s="2">
        <v>6367</v>
      </c>
      <c r="R485">
        <v>2</v>
      </c>
    </row>
    <row r="486" spans="1:18" x14ac:dyDescent="0.25">
      <c r="A486" t="s">
        <v>1379</v>
      </c>
      <c r="B486" s="1">
        <v>45534</v>
      </c>
      <c r="C486" t="s">
        <v>278</v>
      </c>
      <c r="D486" t="s">
        <v>279</v>
      </c>
      <c r="E486" t="s">
        <v>64</v>
      </c>
      <c r="F486" t="s">
        <v>92</v>
      </c>
      <c r="G486" t="s">
        <v>44</v>
      </c>
      <c r="H486" t="s">
        <v>35</v>
      </c>
      <c r="I486" t="s">
        <v>103</v>
      </c>
      <c r="J486" t="s">
        <v>28</v>
      </c>
      <c r="K486">
        <v>2</v>
      </c>
      <c r="L486" s="2">
        <v>6549</v>
      </c>
      <c r="M486" s="2">
        <f>Table1[[#This Row],[Cost_Price]]*Table1[[#This Row],[Quantity_Sold]]</f>
        <v>13098</v>
      </c>
      <c r="N486" s="2">
        <v>11354</v>
      </c>
      <c r="O486" s="5">
        <v>0.02</v>
      </c>
      <c r="P486" s="2">
        <v>22708</v>
      </c>
      <c r="Q486" s="2">
        <v>9610</v>
      </c>
      <c r="R486" s="3" t="s">
        <v>1110</v>
      </c>
    </row>
    <row r="487" spans="1:18" x14ac:dyDescent="0.25">
      <c r="A487" t="s">
        <v>1380</v>
      </c>
      <c r="B487" s="1">
        <v>45304</v>
      </c>
      <c r="C487" t="s">
        <v>20</v>
      </c>
      <c r="D487" t="s">
        <v>1107</v>
      </c>
      <c r="E487" t="s">
        <v>22</v>
      </c>
      <c r="F487" t="s">
        <v>42</v>
      </c>
      <c r="G487" t="s">
        <v>25</v>
      </c>
      <c r="H487" t="s">
        <v>45</v>
      </c>
      <c r="I487" t="s">
        <v>103</v>
      </c>
      <c r="J487" t="s">
        <v>54</v>
      </c>
      <c r="K487">
        <v>3</v>
      </c>
      <c r="L487" s="2">
        <v>7949</v>
      </c>
      <c r="M487" s="2">
        <f>Table1[[#This Row],[Cost_Price]]*Table1[[#This Row],[Quantity_Sold]]</f>
        <v>23847</v>
      </c>
      <c r="N487" s="2">
        <v>12077</v>
      </c>
      <c r="O487" s="5">
        <v>0.1</v>
      </c>
      <c r="P487" s="2">
        <v>36231</v>
      </c>
      <c r="Q487" s="2">
        <v>12384</v>
      </c>
      <c r="R487">
        <v>2</v>
      </c>
    </row>
    <row r="488" spans="1:18" x14ac:dyDescent="0.25">
      <c r="A488" t="s">
        <v>1381</v>
      </c>
      <c r="B488" s="1">
        <v>45418</v>
      </c>
      <c r="C488" t="s">
        <v>20</v>
      </c>
      <c r="D488" t="s">
        <v>1107</v>
      </c>
      <c r="E488" t="s">
        <v>22</v>
      </c>
      <c r="F488" t="s">
        <v>73</v>
      </c>
      <c r="G488" t="s">
        <v>25</v>
      </c>
      <c r="H488" t="s">
        <v>26</v>
      </c>
      <c r="I488" t="s">
        <v>27</v>
      </c>
      <c r="J488" t="s">
        <v>59</v>
      </c>
      <c r="K488">
        <v>8</v>
      </c>
      <c r="L488" s="2">
        <v>10204</v>
      </c>
      <c r="M488" s="2">
        <f>Table1[[#This Row],[Cost_Price]]*Table1[[#This Row],[Quantity_Sold]]</f>
        <v>81632</v>
      </c>
      <c r="N488" s="2">
        <v>14270</v>
      </c>
      <c r="O488" s="5">
        <v>0</v>
      </c>
      <c r="P488" s="2">
        <v>114160</v>
      </c>
      <c r="Q488" s="2">
        <v>32528</v>
      </c>
      <c r="R488">
        <v>3</v>
      </c>
    </row>
    <row r="489" spans="1:18" x14ac:dyDescent="0.25">
      <c r="A489" t="s">
        <v>1382</v>
      </c>
      <c r="B489" s="1">
        <v>45428</v>
      </c>
      <c r="C489" t="s">
        <v>49</v>
      </c>
      <c r="D489" t="s">
        <v>83</v>
      </c>
      <c r="E489" t="s">
        <v>51</v>
      </c>
      <c r="F489" t="s">
        <v>92</v>
      </c>
      <c r="G489" t="s">
        <v>44</v>
      </c>
      <c r="H489" t="s">
        <v>45</v>
      </c>
      <c r="I489" t="s">
        <v>103</v>
      </c>
      <c r="J489" t="s">
        <v>36</v>
      </c>
      <c r="K489">
        <v>4</v>
      </c>
      <c r="L489" s="2">
        <v>11144</v>
      </c>
      <c r="M489" s="2">
        <f>Table1[[#This Row],[Cost_Price]]*Table1[[#This Row],[Quantity_Sold]]</f>
        <v>44576</v>
      </c>
      <c r="N489" s="2">
        <v>13883</v>
      </c>
      <c r="O489" s="5">
        <v>0.05</v>
      </c>
      <c r="P489" s="2">
        <v>55532</v>
      </c>
      <c r="Q489" s="2">
        <v>10956</v>
      </c>
      <c r="R489">
        <v>4</v>
      </c>
    </row>
    <row r="490" spans="1:18" x14ac:dyDescent="0.25">
      <c r="A490" t="s">
        <v>1383</v>
      </c>
      <c r="B490" s="1">
        <v>45547</v>
      </c>
      <c r="C490" t="s">
        <v>149</v>
      </c>
      <c r="D490" t="s">
        <v>150</v>
      </c>
      <c r="E490" t="s">
        <v>51</v>
      </c>
      <c r="F490" t="s">
        <v>42</v>
      </c>
      <c r="G490" t="s">
        <v>25</v>
      </c>
      <c r="H490" t="s">
        <v>26</v>
      </c>
      <c r="I490" t="s">
        <v>103</v>
      </c>
      <c r="J490" t="s">
        <v>28</v>
      </c>
      <c r="K490">
        <v>5</v>
      </c>
      <c r="L490" s="2">
        <v>8786</v>
      </c>
      <c r="M490" s="2">
        <f>Table1[[#This Row],[Cost_Price]]*Table1[[#This Row],[Quantity_Sold]]</f>
        <v>43930</v>
      </c>
      <c r="N490" s="2">
        <v>12120</v>
      </c>
      <c r="O490" s="5">
        <v>0</v>
      </c>
      <c r="P490" s="2">
        <v>60600</v>
      </c>
      <c r="Q490" s="2">
        <v>16670</v>
      </c>
      <c r="R490">
        <v>4</v>
      </c>
    </row>
    <row r="491" spans="1:18" x14ac:dyDescent="0.25">
      <c r="A491" t="s">
        <v>1384</v>
      </c>
      <c r="B491" s="1">
        <v>45641</v>
      </c>
      <c r="C491" t="s">
        <v>278</v>
      </c>
      <c r="D491" t="s">
        <v>279</v>
      </c>
      <c r="E491" t="s">
        <v>64</v>
      </c>
      <c r="F491" t="s">
        <v>23</v>
      </c>
      <c r="G491" t="s">
        <v>25</v>
      </c>
      <c r="H491" t="s">
        <v>45</v>
      </c>
      <c r="I491" t="s">
        <v>103</v>
      </c>
      <c r="J491" t="s">
        <v>59</v>
      </c>
      <c r="K491">
        <v>3</v>
      </c>
      <c r="L491" s="2">
        <v>7985</v>
      </c>
      <c r="M491" s="2">
        <f>Table1[[#This Row],[Cost_Price]]*Table1[[#This Row],[Quantity_Sold]]</f>
        <v>23955</v>
      </c>
      <c r="N491" s="2">
        <v>11863</v>
      </c>
      <c r="O491" s="5">
        <v>0</v>
      </c>
      <c r="P491" s="2">
        <v>35589</v>
      </c>
      <c r="Q491" s="2">
        <v>11634</v>
      </c>
      <c r="R491">
        <v>1</v>
      </c>
    </row>
    <row r="492" spans="1:18" x14ac:dyDescent="0.25">
      <c r="A492" t="s">
        <v>1385</v>
      </c>
      <c r="B492" s="1">
        <v>45410</v>
      </c>
      <c r="C492" t="s">
        <v>49</v>
      </c>
      <c r="D492" t="s">
        <v>83</v>
      </c>
      <c r="E492" t="s">
        <v>51</v>
      </c>
      <c r="F492" t="s">
        <v>73</v>
      </c>
      <c r="G492" t="s">
        <v>44</v>
      </c>
      <c r="H492" t="s">
        <v>45</v>
      </c>
      <c r="I492" t="s">
        <v>120</v>
      </c>
      <c r="J492" t="s">
        <v>28</v>
      </c>
      <c r="K492">
        <v>7</v>
      </c>
      <c r="L492" s="2">
        <v>4992</v>
      </c>
      <c r="M492" s="2">
        <f>Table1[[#This Row],[Cost_Price]]*Table1[[#This Row],[Quantity_Sold]]</f>
        <v>34944</v>
      </c>
      <c r="N492" s="2">
        <v>12463</v>
      </c>
      <c r="O492" s="5">
        <v>0.1</v>
      </c>
      <c r="P492" s="2">
        <v>87241</v>
      </c>
      <c r="Q492" s="2">
        <v>52297</v>
      </c>
      <c r="R492">
        <v>2</v>
      </c>
    </row>
    <row r="493" spans="1:18" x14ac:dyDescent="0.25">
      <c r="A493" t="s">
        <v>1386</v>
      </c>
      <c r="B493" s="1">
        <v>45688</v>
      </c>
      <c r="C493" t="s">
        <v>20</v>
      </c>
      <c r="D493" t="s">
        <v>1107</v>
      </c>
      <c r="E493" t="s">
        <v>22</v>
      </c>
      <c r="F493" t="s">
        <v>42</v>
      </c>
      <c r="G493" t="s">
        <v>44</v>
      </c>
      <c r="H493" t="s">
        <v>26</v>
      </c>
      <c r="I493" t="s">
        <v>103</v>
      </c>
      <c r="J493" t="s">
        <v>54</v>
      </c>
      <c r="K493">
        <v>1</v>
      </c>
      <c r="L493" s="2">
        <v>14575</v>
      </c>
      <c r="M493" s="2">
        <f>Table1[[#This Row],[Cost_Price]]*Table1[[#This Row],[Quantity_Sold]]</f>
        <v>14575</v>
      </c>
      <c r="N493" s="2">
        <v>20508</v>
      </c>
      <c r="O493" s="5">
        <v>0</v>
      </c>
      <c r="P493" s="2">
        <v>20508</v>
      </c>
      <c r="Q493" s="2">
        <v>5933</v>
      </c>
      <c r="R493" s="3" t="s">
        <v>1110</v>
      </c>
    </row>
    <row r="494" spans="1:18" x14ac:dyDescent="0.25">
      <c r="A494" t="s">
        <v>1387</v>
      </c>
      <c r="B494" s="1">
        <v>45574</v>
      </c>
      <c r="C494" t="s">
        <v>71</v>
      </c>
      <c r="D494" t="s">
        <v>72</v>
      </c>
      <c r="E494" t="s">
        <v>64</v>
      </c>
      <c r="F494" t="s">
        <v>98</v>
      </c>
      <c r="G494" t="s">
        <v>25</v>
      </c>
      <c r="H494" t="s">
        <v>26</v>
      </c>
      <c r="I494" t="s">
        <v>58</v>
      </c>
      <c r="J494" t="s">
        <v>59</v>
      </c>
      <c r="K494">
        <v>1</v>
      </c>
      <c r="L494" s="2">
        <v>9904</v>
      </c>
      <c r="M494" s="2">
        <f>Table1[[#This Row],[Cost_Price]]*Table1[[#This Row],[Quantity_Sold]]</f>
        <v>9904</v>
      </c>
      <c r="N494" s="2">
        <v>11955</v>
      </c>
      <c r="O494" s="5">
        <v>0.05</v>
      </c>
      <c r="P494" s="2">
        <v>11955</v>
      </c>
      <c r="Q494" s="2">
        <v>2051</v>
      </c>
      <c r="R494">
        <v>4</v>
      </c>
    </row>
    <row r="495" spans="1:18" x14ac:dyDescent="0.25">
      <c r="A495" t="s">
        <v>1388</v>
      </c>
      <c r="B495" s="1">
        <v>45770</v>
      </c>
      <c r="C495" t="s">
        <v>39</v>
      </c>
      <c r="D495" t="s">
        <v>1108</v>
      </c>
      <c r="E495" t="s">
        <v>41</v>
      </c>
      <c r="F495" t="s">
        <v>98</v>
      </c>
      <c r="G495" t="s">
        <v>44</v>
      </c>
      <c r="H495" t="s">
        <v>45</v>
      </c>
      <c r="I495" t="s">
        <v>58</v>
      </c>
      <c r="J495" t="s">
        <v>54</v>
      </c>
      <c r="K495">
        <v>2</v>
      </c>
      <c r="L495" s="2">
        <v>9844</v>
      </c>
      <c r="M495" s="2">
        <f>Table1[[#This Row],[Cost_Price]]*Table1[[#This Row],[Quantity_Sold]]</f>
        <v>19688</v>
      </c>
      <c r="N495" s="2">
        <v>10490</v>
      </c>
      <c r="O495" s="5">
        <v>0</v>
      </c>
      <c r="P495" s="2">
        <v>20980</v>
      </c>
      <c r="Q495" s="2">
        <v>1292</v>
      </c>
      <c r="R495">
        <v>5</v>
      </c>
    </row>
    <row r="496" spans="1:18" x14ac:dyDescent="0.25">
      <c r="A496" t="s">
        <v>1389</v>
      </c>
      <c r="B496" s="1">
        <v>45334</v>
      </c>
      <c r="C496" t="s">
        <v>49</v>
      </c>
      <c r="D496" t="s">
        <v>83</v>
      </c>
      <c r="E496" t="s">
        <v>51</v>
      </c>
      <c r="F496" t="s">
        <v>42</v>
      </c>
      <c r="G496" t="s">
        <v>44</v>
      </c>
      <c r="H496" t="s">
        <v>26</v>
      </c>
      <c r="I496" t="s">
        <v>103</v>
      </c>
      <c r="J496" t="s">
        <v>28</v>
      </c>
      <c r="K496">
        <v>8</v>
      </c>
      <c r="L496" s="2">
        <v>13051</v>
      </c>
      <c r="M496" s="2">
        <f>Table1[[#This Row],[Cost_Price]]*Table1[[#This Row],[Quantity_Sold]]</f>
        <v>104408</v>
      </c>
      <c r="N496" s="2">
        <v>18708</v>
      </c>
      <c r="O496" s="5">
        <v>0.02</v>
      </c>
      <c r="P496" s="2">
        <v>149664</v>
      </c>
      <c r="Q496" s="2">
        <v>45256</v>
      </c>
      <c r="R496" s="3" t="s">
        <v>1110</v>
      </c>
    </row>
    <row r="497" spans="1:18" x14ac:dyDescent="0.25">
      <c r="A497" t="s">
        <v>1390</v>
      </c>
      <c r="B497" s="1">
        <v>45536</v>
      </c>
      <c r="C497" t="s">
        <v>71</v>
      </c>
      <c r="D497" t="s">
        <v>72</v>
      </c>
      <c r="E497" t="s">
        <v>64</v>
      </c>
      <c r="F497" t="s">
        <v>92</v>
      </c>
      <c r="G497" t="s">
        <v>25</v>
      </c>
      <c r="H497" t="s">
        <v>26</v>
      </c>
      <c r="I497" t="s">
        <v>103</v>
      </c>
      <c r="J497" t="s">
        <v>54</v>
      </c>
      <c r="K497">
        <v>8</v>
      </c>
      <c r="L497" s="2">
        <v>1074</v>
      </c>
      <c r="M497" s="2">
        <f>Table1[[#This Row],[Cost_Price]]*Table1[[#This Row],[Quantity_Sold]]</f>
        <v>8592</v>
      </c>
      <c r="N497" s="2">
        <v>5956</v>
      </c>
      <c r="O497" s="5">
        <v>0</v>
      </c>
      <c r="P497" s="2">
        <v>47648</v>
      </c>
      <c r="Q497" s="2">
        <v>39056</v>
      </c>
      <c r="R497">
        <v>3</v>
      </c>
    </row>
    <row r="498" spans="1:18" x14ac:dyDescent="0.25">
      <c r="A498" t="s">
        <v>1391</v>
      </c>
      <c r="B498" s="1">
        <v>45767</v>
      </c>
      <c r="C498" t="s">
        <v>241</v>
      </c>
      <c r="D498" t="s">
        <v>1109</v>
      </c>
      <c r="E498" t="s">
        <v>22</v>
      </c>
      <c r="F498" t="s">
        <v>73</v>
      </c>
      <c r="G498" t="s">
        <v>25</v>
      </c>
      <c r="H498" t="s">
        <v>26</v>
      </c>
      <c r="I498" t="s">
        <v>120</v>
      </c>
      <c r="J498" t="s">
        <v>54</v>
      </c>
      <c r="K498">
        <v>8</v>
      </c>
      <c r="L498" s="2">
        <v>13487</v>
      </c>
      <c r="M498" s="2">
        <f>Table1[[#This Row],[Cost_Price]]*Table1[[#This Row],[Quantity_Sold]]</f>
        <v>107896</v>
      </c>
      <c r="N498" s="2">
        <v>15957</v>
      </c>
      <c r="O498" s="5">
        <v>0.04</v>
      </c>
      <c r="P498" s="2">
        <v>127656</v>
      </c>
      <c r="Q498" s="2">
        <v>19760</v>
      </c>
      <c r="R498" s="3" t="s">
        <v>1110</v>
      </c>
    </row>
    <row r="499" spans="1:18" x14ac:dyDescent="0.25">
      <c r="A499" t="s">
        <v>1392</v>
      </c>
      <c r="B499" s="1">
        <v>45762</v>
      </c>
      <c r="C499" t="s">
        <v>20</v>
      </c>
      <c r="D499" t="s">
        <v>1107</v>
      </c>
      <c r="E499" t="s">
        <v>22</v>
      </c>
      <c r="F499" t="s">
        <v>1110</v>
      </c>
      <c r="G499" t="s">
        <v>25</v>
      </c>
      <c r="H499" t="s">
        <v>26</v>
      </c>
      <c r="I499" t="s">
        <v>103</v>
      </c>
      <c r="J499" t="s">
        <v>28</v>
      </c>
      <c r="K499">
        <v>7</v>
      </c>
      <c r="L499" s="2">
        <v>3185</v>
      </c>
      <c r="M499" s="2">
        <f>Table1[[#This Row],[Cost_Price]]*Table1[[#This Row],[Quantity_Sold]]</f>
        <v>22295</v>
      </c>
      <c r="N499" s="2">
        <v>5932</v>
      </c>
      <c r="O499" s="5">
        <v>0.04</v>
      </c>
      <c r="P499" s="2">
        <v>41524</v>
      </c>
      <c r="Q499" s="2">
        <v>19229</v>
      </c>
      <c r="R499">
        <v>4</v>
      </c>
    </row>
    <row r="500" spans="1:18" x14ac:dyDescent="0.25">
      <c r="A500" t="s">
        <v>1393</v>
      </c>
      <c r="B500" s="1">
        <v>45671</v>
      </c>
      <c r="C500" t="s">
        <v>39</v>
      </c>
      <c r="D500" t="s">
        <v>1108</v>
      </c>
      <c r="E500" t="s">
        <v>41</v>
      </c>
      <c r="F500" t="s">
        <v>98</v>
      </c>
      <c r="G500" t="s">
        <v>25</v>
      </c>
      <c r="H500" t="s">
        <v>26</v>
      </c>
      <c r="I500" t="s">
        <v>103</v>
      </c>
      <c r="J500" t="s">
        <v>54</v>
      </c>
      <c r="K500">
        <v>3</v>
      </c>
      <c r="L500" s="2">
        <v>3016</v>
      </c>
      <c r="M500" s="2">
        <f>Table1[[#This Row],[Cost_Price]]*Table1[[#This Row],[Quantity_Sold]]</f>
        <v>9048</v>
      </c>
      <c r="N500" s="2">
        <v>7450</v>
      </c>
      <c r="O500" s="5">
        <v>0</v>
      </c>
      <c r="P500" s="2">
        <v>22350</v>
      </c>
      <c r="Q500" s="2">
        <v>13302</v>
      </c>
      <c r="R500">
        <v>1</v>
      </c>
    </row>
    <row r="501" spans="1:18" x14ac:dyDescent="0.25">
      <c r="A501" t="s">
        <v>1394</v>
      </c>
      <c r="B501" s="1">
        <v>45751</v>
      </c>
      <c r="C501" t="s">
        <v>278</v>
      </c>
      <c r="D501" t="s">
        <v>279</v>
      </c>
      <c r="E501" t="s">
        <v>64</v>
      </c>
      <c r="F501" t="s">
        <v>98</v>
      </c>
      <c r="G501" t="s">
        <v>44</v>
      </c>
      <c r="H501" t="s">
        <v>45</v>
      </c>
      <c r="I501" t="s">
        <v>103</v>
      </c>
      <c r="J501" t="s">
        <v>54</v>
      </c>
      <c r="K501">
        <v>6</v>
      </c>
      <c r="L501" s="2">
        <v>6656</v>
      </c>
      <c r="M501" s="2">
        <f>Table1[[#This Row],[Cost_Price]]*Table1[[#This Row],[Quantity_Sold]]</f>
        <v>39936</v>
      </c>
      <c r="N501" s="2">
        <v>7827</v>
      </c>
      <c r="O501" s="5">
        <v>0.02</v>
      </c>
      <c r="P501" s="2">
        <v>46962</v>
      </c>
      <c r="Q501" s="2">
        <v>7026</v>
      </c>
      <c r="R501">
        <v>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D91C8-B387-4C21-968D-E50BB3AEB7CF}">
  <dimension ref="A1:C18"/>
  <sheetViews>
    <sheetView workbookViewId="0">
      <selection activeCell="C11" sqref="C11"/>
    </sheetView>
  </sheetViews>
  <sheetFormatPr defaultRowHeight="15" x14ac:dyDescent="0.25"/>
  <cols>
    <col min="1" max="1" width="28.5703125" customWidth="1"/>
    <col min="2" max="2" width="20.7109375" style="2" customWidth="1"/>
    <col min="3" max="3" width="25.7109375" style="2" customWidth="1"/>
  </cols>
  <sheetData>
    <row r="1" spans="1:3" x14ac:dyDescent="0.25">
      <c r="A1" s="6" t="s">
        <v>3</v>
      </c>
      <c r="B1" s="7" t="s">
        <v>1402</v>
      </c>
      <c r="C1" s="7" t="s">
        <v>1403</v>
      </c>
    </row>
    <row r="2" spans="1:3" x14ac:dyDescent="0.25">
      <c r="A2" t="s">
        <v>1107</v>
      </c>
      <c r="B2" s="2">
        <f>AVERAGEIFS(Clean_Skincare_Data!L:L, Clean_Skincare_Data!D:D, A2)</f>
        <v>8386.7941176470595</v>
      </c>
      <c r="C2" s="2">
        <f>AVERAGEIFS(Clean_Skincare_Data!N:N, Clean_Skincare_Data!D:D, A2)</f>
        <v>12079.117647058823</v>
      </c>
    </row>
    <row r="3" spans="1:3" x14ac:dyDescent="0.25">
      <c r="A3" t="s">
        <v>32</v>
      </c>
      <c r="B3" s="2">
        <f>AVERAGEIFS(Clean_Skincare_Data!L:L, Clean_Skincare_Data!D:D, A3)</f>
        <v>7565.9666666666662</v>
      </c>
      <c r="C3" s="2">
        <f>AVERAGEIFS(Clean_Skincare_Data!N:N, Clean_Skincare_Data!D:D, A3)</f>
        <v>12551.266666666666</v>
      </c>
    </row>
    <row r="4" spans="1:3" x14ac:dyDescent="0.25">
      <c r="A4" t="s">
        <v>1108</v>
      </c>
      <c r="B4" s="2">
        <f>AVERAGEIFS(Clean_Skincare_Data!L:L, Clean_Skincare_Data!D:D, A4)</f>
        <v>8217.625</v>
      </c>
      <c r="C4" s="2">
        <f>AVERAGEIFS(Clean_Skincare_Data!N:N, Clean_Skincare_Data!D:D, A4)</f>
        <v>12092.5</v>
      </c>
    </row>
    <row r="5" spans="1:3" x14ac:dyDescent="0.25">
      <c r="A5" t="s">
        <v>83</v>
      </c>
      <c r="B5" s="2">
        <f>AVERAGEIFS(Clean_Skincare_Data!L:L, Clean_Skincare_Data!D:D, A5)</f>
        <v>9404.2711864406774</v>
      </c>
      <c r="C5" s="2">
        <f>AVERAGEIFS(Clean_Skincare_Data!N:N, Clean_Skincare_Data!D:D, A5)</f>
        <v>14208.203389830509</v>
      </c>
    </row>
    <row r="6" spans="1:3" x14ac:dyDescent="0.25">
      <c r="A6" t="s">
        <v>63</v>
      </c>
      <c r="B6" s="2">
        <f>AVERAGEIFS(Clean_Skincare_Data!L:L, Clean_Skincare_Data!D:D, A6)</f>
        <v>9057</v>
      </c>
      <c r="C6" s="2">
        <f>AVERAGEIFS(Clean_Skincare_Data!N:N, Clean_Skincare_Data!D:D, A6)</f>
        <v>12823.5</v>
      </c>
    </row>
    <row r="7" spans="1:3" x14ac:dyDescent="0.25">
      <c r="A7" t="s">
        <v>72</v>
      </c>
      <c r="B7" s="2">
        <f>AVERAGEIFS(Clean_Skincare_Data!L:L, Clean_Skincare_Data!D:D, A7)</f>
        <v>9310.818181818182</v>
      </c>
      <c r="C7" s="2">
        <f>AVERAGEIFS(Clean_Skincare_Data!N:N, Clean_Skincare_Data!D:D, A7)</f>
        <v>13533.30303030303</v>
      </c>
    </row>
    <row r="8" spans="1:3" x14ac:dyDescent="0.25">
      <c r="A8" t="s">
        <v>78</v>
      </c>
      <c r="B8" s="2">
        <f>AVERAGEIFS(Clean_Skincare_Data!L:L, Clean_Skincare_Data!D:D, A8)</f>
        <v>7710.59375</v>
      </c>
      <c r="C8" s="2">
        <f>AVERAGEIFS(Clean_Skincare_Data!N:N, Clean_Skincare_Data!D:D, A8)</f>
        <v>11801.4375</v>
      </c>
    </row>
    <row r="9" spans="1:3" x14ac:dyDescent="0.25">
      <c r="A9" t="s">
        <v>88</v>
      </c>
      <c r="B9" s="2">
        <f>AVERAGEIFS(Clean_Skincare_Data!L:L, Clean_Skincare_Data!D:D, A9)</f>
        <v>7888.28</v>
      </c>
      <c r="C9" s="2">
        <f>AVERAGEIFS(Clean_Skincare_Data!N:N, Clean_Skincare_Data!D:D, A9)</f>
        <v>12213.4</v>
      </c>
    </row>
    <row r="10" spans="1:3" x14ac:dyDescent="0.25">
      <c r="A10" t="s">
        <v>97</v>
      </c>
      <c r="B10" s="2">
        <f>AVERAGEIFS(Clean_Skincare_Data!L:L, Clean_Skincare_Data!D:D, A10)</f>
        <v>8522</v>
      </c>
      <c r="C10" s="2">
        <f>AVERAGEIFS(Clean_Skincare_Data!N:N, Clean_Skincare_Data!D:D, A10)</f>
        <v>12766.28</v>
      </c>
    </row>
    <row r="11" spans="1:3" x14ac:dyDescent="0.25">
      <c r="A11" t="s">
        <v>107</v>
      </c>
      <c r="B11" s="2">
        <f>AVERAGEIFS(Clean_Skincare_Data!L:L, Clean_Skincare_Data!D:D, A11)</f>
        <v>6827.64</v>
      </c>
      <c r="C11" s="2">
        <f>AVERAGEIFS(Clean_Skincare_Data!N:N, Clean_Skincare_Data!D:D, A11)</f>
        <v>11481.64</v>
      </c>
    </row>
    <row r="12" spans="1:3" x14ac:dyDescent="0.25">
      <c r="A12" t="s">
        <v>118</v>
      </c>
      <c r="B12" s="2">
        <f>AVERAGEIFS(Clean_Skincare_Data!L:L, Clean_Skincare_Data!D:D, A12)</f>
        <v>8321.875</v>
      </c>
      <c r="C12" s="2">
        <f>AVERAGEIFS(Clean_Skincare_Data!N:N, Clean_Skincare_Data!D:D, A12)</f>
        <v>12728.833333333334</v>
      </c>
    </row>
    <row r="13" spans="1:3" x14ac:dyDescent="0.25">
      <c r="A13" t="s">
        <v>132</v>
      </c>
      <c r="B13" s="2">
        <f>AVERAGEIFS(Clean_Skincare_Data!L:L, Clean_Skincare_Data!D:D, A13)</f>
        <v>8220.7857142857138</v>
      </c>
      <c r="C13" s="2">
        <f>AVERAGEIFS(Clean_Skincare_Data!N:N, Clean_Skincare_Data!D:D, A13)</f>
        <v>13188.535714285714</v>
      </c>
    </row>
    <row r="14" spans="1:3" x14ac:dyDescent="0.25">
      <c r="A14" t="s">
        <v>142</v>
      </c>
      <c r="B14" s="2">
        <f>AVERAGEIFS(Clean_Skincare_Data!L:L, Clean_Skincare_Data!D:D, A14)</f>
        <v>8453.2222222222226</v>
      </c>
      <c r="C14" s="2">
        <f>AVERAGEIFS(Clean_Skincare_Data!N:N, Clean_Skincare_Data!D:D, A14)</f>
        <v>12398.666666666666</v>
      </c>
    </row>
    <row r="15" spans="1:3" x14ac:dyDescent="0.25">
      <c r="A15" t="s">
        <v>150</v>
      </c>
      <c r="B15" s="2">
        <f>AVERAGEIFS(Clean_Skincare_Data!L:L, Clean_Skincare_Data!D:D, A15)</f>
        <v>8581.032258064517</v>
      </c>
      <c r="C15" s="2">
        <f>AVERAGEIFS(Clean_Skincare_Data!N:N, Clean_Skincare_Data!D:D, A15)</f>
        <v>12764.903225806451</v>
      </c>
    </row>
    <row r="16" spans="1:3" x14ac:dyDescent="0.25">
      <c r="A16" t="s">
        <v>217</v>
      </c>
      <c r="B16" s="2">
        <f>AVERAGEIFS(Clean_Skincare_Data!L:L, Clean_Skincare_Data!D:D, A16)</f>
        <v>8193.25</v>
      </c>
      <c r="C16" s="2">
        <f>AVERAGEIFS(Clean_Skincare_Data!N:N, Clean_Skincare_Data!D:D, A16)</f>
        <v>12874.85</v>
      </c>
    </row>
    <row r="17" spans="1:3" x14ac:dyDescent="0.25">
      <c r="A17" t="s">
        <v>1109</v>
      </c>
      <c r="B17" s="2">
        <f>AVERAGEIFS(Clean_Skincare_Data!L:L, Clean_Skincare_Data!D:D, A17)</f>
        <v>7457.1904761904761</v>
      </c>
      <c r="C17" s="2">
        <f>AVERAGEIFS(Clean_Skincare_Data!N:N, Clean_Skincare_Data!D:D, A17)</f>
        <v>11504.666666666666</v>
      </c>
    </row>
    <row r="18" spans="1:3" x14ac:dyDescent="0.25">
      <c r="A18" t="s">
        <v>279</v>
      </c>
      <c r="B18" s="2">
        <f>AVERAGEIFS(Clean_Skincare_Data!L:L, Clean_Skincare_Data!D:D, A18)</f>
        <v>7073.608695652174</v>
      </c>
      <c r="C18" s="2">
        <f>AVERAGEIFS(Clean_Skincare_Data!N:N, Clean_Skincare_Data!D:D, A18)</f>
        <v>11118.695652173914</v>
      </c>
    </row>
  </sheetData>
  <sheetProtection algorithmName="SHA-512" hashValue="c0KF5+zl/1Dg4qQXhXxVzXESpDOXJjmc4BwPCOBzn+mKVIAdtQfl/OFNthDzWZf38TsW+WbRLprAq09SeFTALA==" saltValue="j/JA1sXJFNwAjmWFSM5qAw==" spinCount="100000"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CA119-D95F-44F6-BB49-7C61BCFBE283}">
  <dimension ref="A1:C12"/>
  <sheetViews>
    <sheetView workbookViewId="0">
      <selection activeCell="B2" sqref="B2"/>
    </sheetView>
  </sheetViews>
  <sheetFormatPr defaultRowHeight="15" x14ac:dyDescent="0.25"/>
  <cols>
    <col min="1" max="1" width="49.5703125" customWidth="1"/>
    <col min="2" max="2" width="27.5703125" customWidth="1"/>
    <col min="3" max="3" width="10.7109375" bestFit="1" customWidth="1"/>
    <col min="4" max="4" width="16.42578125" bestFit="1" customWidth="1"/>
    <col min="5" max="5" width="16" bestFit="1" customWidth="1"/>
    <col min="6" max="6" width="19.42578125" bestFit="1" customWidth="1"/>
  </cols>
  <sheetData>
    <row r="1" spans="1:3" ht="23.25" x14ac:dyDescent="0.25">
      <c r="A1" s="16" t="s">
        <v>1406</v>
      </c>
      <c r="B1" s="17"/>
    </row>
    <row r="2" spans="1:3" x14ac:dyDescent="0.25">
      <c r="A2" s="8" t="s">
        <v>1400</v>
      </c>
      <c r="B2" s="14" t="s">
        <v>32</v>
      </c>
    </row>
    <row r="3" spans="1:3" x14ac:dyDescent="0.25">
      <c r="A3" s="8" t="s">
        <v>1404</v>
      </c>
      <c r="B3" s="9">
        <f>_xlfn.XLOOKUP(B2, Product_Master!A:A, Product_Master!B:B)</f>
        <v>7565.9666666666662</v>
      </c>
    </row>
    <row r="4" spans="1:3" x14ac:dyDescent="0.25">
      <c r="A4" s="8" t="s">
        <v>1405</v>
      </c>
      <c r="B4" s="9">
        <f>_xlfn.XLOOKUP(B2, Product_Master!A:A, Product_Master!C:C)</f>
        <v>12551.266666666666</v>
      </c>
    </row>
    <row r="5" spans="1:3" x14ac:dyDescent="0.25">
      <c r="A5" s="8" t="s">
        <v>1396</v>
      </c>
      <c r="B5" s="15">
        <v>2.5600000000000001E-2</v>
      </c>
    </row>
    <row r="6" spans="1:3" x14ac:dyDescent="0.25">
      <c r="A6" s="10" t="s">
        <v>1397</v>
      </c>
      <c r="B6" s="9">
        <f>B4*B5</f>
        <v>321.31242666666668</v>
      </c>
    </row>
    <row r="7" spans="1:3" x14ac:dyDescent="0.25">
      <c r="A7" s="10" t="s">
        <v>1398</v>
      </c>
      <c r="B7" s="9">
        <f>B4-B6</f>
        <v>12229.954239999999</v>
      </c>
    </row>
    <row r="8" spans="1:3" x14ac:dyDescent="0.25">
      <c r="A8" s="10" t="s">
        <v>1401</v>
      </c>
      <c r="B8" s="9">
        <f>B4-B3</f>
        <v>4985.3</v>
      </c>
    </row>
    <row r="9" spans="1:3" x14ac:dyDescent="0.25">
      <c r="A9" s="10" t="s">
        <v>1399</v>
      </c>
      <c r="B9" s="9">
        <f>B7-B3</f>
        <v>4663.9875733333329</v>
      </c>
    </row>
    <row r="12" spans="1:3" x14ac:dyDescent="0.25">
      <c r="A12" s="18" t="s">
        <v>1407</v>
      </c>
      <c r="B12" s="18"/>
      <c r="C12" s="18"/>
    </row>
  </sheetData>
  <sheetProtection algorithmName="SHA-512" hashValue="cV2malJtTvfXiT8UcHC2T3/uL3LR2RwT0rDwym9wX9Q4H+2PY0oguEkvqfqqq0yXCwqF43GbvP6GQ9DUWTEsmA==" saltValue="Feg/Il80reWJ+VOdv1++Og==" spinCount="100000" sheet="1" objects="1" scenarios="1"/>
  <mergeCells count="2">
    <mergeCell ref="A1:B1"/>
    <mergeCell ref="A12:C12"/>
  </mergeCells>
  <conditionalFormatting sqref="B9">
    <cfRule type="cellIs" dxfId="1" priority="1" operator="lessThan">
      <formula>0</formula>
    </cfRule>
    <cfRule type="cellIs" dxfId="0" priority="2" operator="greaterThan">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D69E489-22C2-49E5-8E1F-F6D2DC98C37D}">
          <x14:formula1>
            <xm:f>Product_Master!$A$2:$A$18</xm:f>
          </x14:formula1>
          <xm:sqref>B2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772C2-F51B-45E3-B69F-53BA2881089E}">
  <dimension ref="A1:H69"/>
  <sheetViews>
    <sheetView zoomScale="70" zoomScaleNormal="70" workbookViewId="0">
      <selection activeCell="H7" sqref="H7"/>
    </sheetView>
  </sheetViews>
  <sheetFormatPr defaultColWidth="20.42578125" defaultRowHeight="15" x14ac:dyDescent="0.25"/>
  <cols>
    <col min="1" max="1" width="23" bestFit="1" customWidth="1"/>
    <col min="2" max="2" width="20.28515625" customWidth="1"/>
    <col min="7" max="7" width="35.85546875" bestFit="1" customWidth="1"/>
    <col min="8" max="8" width="26.85546875" bestFit="1" customWidth="1"/>
  </cols>
  <sheetData>
    <row r="1" spans="1:8" x14ac:dyDescent="0.25">
      <c r="A1" s="19" t="s">
        <v>1411</v>
      </c>
      <c r="B1" s="20"/>
      <c r="G1" s="19" t="s">
        <v>1412</v>
      </c>
      <c r="H1" s="19"/>
    </row>
    <row r="2" spans="1:8" x14ac:dyDescent="0.25">
      <c r="A2" s="11" t="s">
        <v>1409</v>
      </c>
      <c r="B2" t="s">
        <v>1410</v>
      </c>
      <c r="G2" s="11" t="s">
        <v>1409</v>
      </c>
      <c r="H2" t="s">
        <v>1413</v>
      </c>
    </row>
    <row r="3" spans="1:8" x14ac:dyDescent="0.25">
      <c r="A3" s="12" t="s">
        <v>83</v>
      </c>
      <c r="B3" s="2">
        <v>3845198</v>
      </c>
      <c r="G3" s="12" t="s">
        <v>83</v>
      </c>
      <c r="H3" s="2">
        <v>1315511</v>
      </c>
    </row>
    <row r="4" spans="1:8" x14ac:dyDescent="0.25">
      <c r="A4" s="12" t="s">
        <v>142</v>
      </c>
      <c r="B4" s="2">
        <v>2131792</v>
      </c>
      <c r="G4" s="12" t="s">
        <v>32</v>
      </c>
      <c r="H4" s="2">
        <v>756596</v>
      </c>
    </row>
    <row r="5" spans="1:8" x14ac:dyDescent="0.25">
      <c r="A5" s="12" t="s">
        <v>63</v>
      </c>
      <c r="B5" s="2">
        <v>2065190</v>
      </c>
      <c r="G5" s="12" t="s">
        <v>142</v>
      </c>
      <c r="H5" s="2">
        <v>734434</v>
      </c>
    </row>
    <row r="6" spans="1:8" x14ac:dyDescent="0.25">
      <c r="A6" s="12" t="s">
        <v>32</v>
      </c>
      <c r="B6" s="2">
        <v>1956929</v>
      </c>
      <c r="G6" s="12" t="s">
        <v>72</v>
      </c>
      <c r="H6" s="2">
        <v>648885</v>
      </c>
    </row>
    <row r="7" spans="1:8" x14ac:dyDescent="0.25">
      <c r="A7" s="12" t="s">
        <v>72</v>
      </c>
      <c r="B7" s="2">
        <v>1937617</v>
      </c>
      <c r="G7" s="12" t="s">
        <v>88</v>
      </c>
      <c r="H7" s="2">
        <v>598764</v>
      </c>
    </row>
    <row r="8" spans="1:8" x14ac:dyDescent="0.25">
      <c r="A8" s="12" t="s">
        <v>78</v>
      </c>
      <c r="B8" s="2">
        <v>1666053</v>
      </c>
      <c r="G8" s="12" t="s">
        <v>63</v>
      </c>
      <c r="H8" s="2">
        <v>578304</v>
      </c>
    </row>
    <row r="9" spans="1:8" x14ac:dyDescent="0.25">
      <c r="A9" s="12" t="s">
        <v>150</v>
      </c>
      <c r="B9" s="2">
        <v>1651656</v>
      </c>
      <c r="G9" s="12" t="s">
        <v>132</v>
      </c>
      <c r="H9" s="2">
        <v>572653</v>
      </c>
    </row>
    <row r="10" spans="1:8" x14ac:dyDescent="0.25">
      <c r="A10" s="12" t="s">
        <v>88</v>
      </c>
      <c r="B10" s="2">
        <v>1599345</v>
      </c>
      <c r="G10" s="12" t="s">
        <v>150</v>
      </c>
      <c r="H10" s="2">
        <v>569014</v>
      </c>
    </row>
    <row r="11" spans="1:8" x14ac:dyDescent="0.25">
      <c r="A11" s="12" t="s">
        <v>1107</v>
      </c>
      <c r="B11" s="2">
        <v>1555526</v>
      </c>
      <c r="G11" s="12" t="s">
        <v>78</v>
      </c>
      <c r="H11" s="2">
        <v>564561</v>
      </c>
    </row>
    <row r="12" spans="1:8" x14ac:dyDescent="0.25">
      <c r="A12" s="12" t="s">
        <v>132</v>
      </c>
      <c r="B12" s="2">
        <v>1460662</v>
      </c>
      <c r="G12" s="12" t="s">
        <v>107</v>
      </c>
      <c r="H12" s="2">
        <v>550040</v>
      </c>
    </row>
    <row r="13" spans="1:8" x14ac:dyDescent="0.25">
      <c r="A13" s="12" t="s">
        <v>118</v>
      </c>
      <c r="B13" s="2">
        <v>1436405</v>
      </c>
      <c r="G13" s="12" t="s">
        <v>1107</v>
      </c>
      <c r="H13" s="2">
        <v>499118</v>
      </c>
    </row>
    <row r="14" spans="1:8" x14ac:dyDescent="0.25">
      <c r="A14" s="12" t="s">
        <v>97</v>
      </c>
      <c r="B14" s="2">
        <v>1344943</v>
      </c>
      <c r="G14" s="12" t="s">
        <v>97</v>
      </c>
      <c r="H14" s="2">
        <v>462783</v>
      </c>
    </row>
    <row r="15" spans="1:8" x14ac:dyDescent="0.25">
      <c r="A15" s="12" t="s">
        <v>1108</v>
      </c>
      <c r="B15" s="2">
        <v>1287400</v>
      </c>
      <c r="G15" s="12" t="s">
        <v>118</v>
      </c>
      <c r="H15" s="2">
        <v>443733</v>
      </c>
    </row>
    <row r="16" spans="1:8" x14ac:dyDescent="0.25">
      <c r="A16" s="12" t="s">
        <v>107</v>
      </c>
      <c r="B16" s="2">
        <v>1282222</v>
      </c>
      <c r="G16" s="12" t="s">
        <v>1108</v>
      </c>
      <c r="H16" s="2">
        <v>416060</v>
      </c>
    </row>
    <row r="17" spans="1:8" x14ac:dyDescent="0.25">
      <c r="A17" s="12" t="s">
        <v>217</v>
      </c>
      <c r="B17" s="2">
        <v>1000859</v>
      </c>
      <c r="G17" s="12" t="s">
        <v>217</v>
      </c>
      <c r="H17" s="2">
        <v>369940</v>
      </c>
    </row>
    <row r="18" spans="1:8" x14ac:dyDescent="0.25">
      <c r="A18" s="12" t="s">
        <v>1109</v>
      </c>
      <c r="B18" s="2">
        <v>961967</v>
      </c>
      <c r="G18" s="12" t="s">
        <v>1109</v>
      </c>
      <c r="H18" s="2">
        <v>344616</v>
      </c>
    </row>
    <row r="19" spans="1:8" x14ac:dyDescent="0.25">
      <c r="A19" s="12" t="s">
        <v>279</v>
      </c>
      <c r="B19" s="2">
        <v>899172</v>
      </c>
      <c r="G19" s="12" t="s">
        <v>279</v>
      </c>
      <c r="H19" s="2">
        <v>341641</v>
      </c>
    </row>
    <row r="20" spans="1:8" x14ac:dyDescent="0.25">
      <c r="A20" s="12" t="s">
        <v>1408</v>
      </c>
      <c r="B20" s="2">
        <v>28082936</v>
      </c>
      <c r="G20" s="12" t="s">
        <v>1408</v>
      </c>
      <c r="H20" s="2">
        <v>9766653</v>
      </c>
    </row>
    <row r="24" spans="1:8" x14ac:dyDescent="0.25">
      <c r="A24" s="19" t="s">
        <v>1414</v>
      </c>
      <c r="B24" s="19"/>
      <c r="G24" s="19" t="s">
        <v>1415</v>
      </c>
      <c r="H24" s="20"/>
    </row>
    <row r="25" spans="1:8" x14ac:dyDescent="0.25">
      <c r="A25" s="11" t="s">
        <v>1409</v>
      </c>
      <c r="B25" t="s">
        <v>1410</v>
      </c>
      <c r="G25" s="11" t="s">
        <v>1409</v>
      </c>
      <c r="H25" t="s">
        <v>1410</v>
      </c>
    </row>
    <row r="26" spans="1:8" x14ac:dyDescent="0.25">
      <c r="A26" s="12" t="s">
        <v>51</v>
      </c>
      <c r="B26" s="2">
        <v>8973589</v>
      </c>
      <c r="G26" s="12" t="s">
        <v>28</v>
      </c>
      <c r="H26" s="2">
        <v>7318188</v>
      </c>
    </row>
    <row r="27" spans="1:8" x14ac:dyDescent="0.25">
      <c r="A27" s="12" t="s">
        <v>64</v>
      </c>
      <c r="B27" s="2">
        <v>8028694</v>
      </c>
      <c r="G27" s="12" t="s">
        <v>59</v>
      </c>
      <c r="H27" s="2">
        <v>7258247</v>
      </c>
    </row>
    <row r="28" spans="1:8" x14ac:dyDescent="0.25">
      <c r="A28" s="12" t="s">
        <v>33</v>
      </c>
      <c r="B28" s="2">
        <v>4557133</v>
      </c>
      <c r="G28" s="12" t="s">
        <v>54</v>
      </c>
      <c r="H28" s="2">
        <v>7114629</v>
      </c>
    </row>
    <row r="29" spans="1:8" x14ac:dyDescent="0.25">
      <c r="A29" s="12" t="s">
        <v>41</v>
      </c>
      <c r="B29" s="2">
        <v>4006027</v>
      </c>
      <c r="G29" s="12" t="s">
        <v>36</v>
      </c>
      <c r="H29" s="2">
        <v>6391872</v>
      </c>
    </row>
    <row r="30" spans="1:8" x14ac:dyDescent="0.25">
      <c r="A30" s="12" t="s">
        <v>22</v>
      </c>
      <c r="B30" s="2">
        <v>2517493</v>
      </c>
      <c r="G30" s="12" t="s">
        <v>1408</v>
      </c>
      <c r="H30" s="2">
        <v>28082936</v>
      </c>
    </row>
    <row r="31" spans="1:8" x14ac:dyDescent="0.25">
      <c r="A31" s="12" t="s">
        <v>1408</v>
      </c>
      <c r="B31" s="2">
        <v>28082936</v>
      </c>
    </row>
    <row r="39" spans="1:8" x14ac:dyDescent="0.25">
      <c r="A39" s="19" t="s">
        <v>1416</v>
      </c>
      <c r="B39" s="20"/>
      <c r="G39" s="19" t="s">
        <v>1418</v>
      </c>
      <c r="H39" s="20"/>
    </row>
    <row r="40" spans="1:8" x14ac:dyDescent="0.25">
      <c r="A40" s="11" t="s">
        <v>1409</v>
      </c>
      <c r="B40" t="s">
        <v>1410</v>
      </c>
      <c r="G40" s="11" t="s">
        <v>1409</v>
      </c>
      <c r="H40" t="s">
        <v>1417</v>
      </c>
    </row>
    <row r="41" spans="1:8" x14ac:dyDescent="0.25">
      <c r="A41" s="12" t="s">
        <v>103</v>
      </c>
      <c r="B41" s="2">
        <v>16290076</v>
      </c>
      <c r="G41" s="12" t="s">
        <v>26</v>
      </c>
      <c r="H41">
        <v>883</v>
      </c>
    </row>
    <row r="42" spans="1:8" x14ac:dyDescent="0.25">
      <c r="A42" s="12" t="s">
        <v>120</v>
      </c>
      <c r="B42" s="2">
        <v>4732455</v>
      </c>
      <c r="G42" s="12" t="s">
        <v>45</v>
      </c>
      <c r="H42">
        <v>689</v>
      </c>
    </row>
    <row r="43" spans="1:8" x14ac:dyDescent="0.25">
      <c r="A43" s="12" t="s">
        <v>27</v>
      </c>
      <c r="B43" s="2">
        <v>3581996</v>
      </c>
      <c r="G43" s="12" t="s">
        <v>35</v>
      </c>
      <c r="H43">
        <v>676</v>
      </c>
    </row>
    <row r="44" spans="1:8" x14ac:dyDescent="0.25">
      <c r="A44" s="12" t="s">
        <v>58</v>
      </c>
      <c r="B44" s="2">
        <v>3478409</v>
      </c>
      <c r="G44" s="12" t="s">
        <v>1408</v>
      </c>
      <c r="H44">
        <v>2248</v>
      </c>
    </row>
    <row r="45" spans="1:8" x14ac:dyDescent="0.25">
      <c r="A45" s="12" t="s">
        <v>1408</v>
      </c>
      <c r="B45" s="2">
        <v>28082936</v>
      </c>
    </row>
    <row r="54" spans="1:7" x14ac:dyDescent="0.25">
      <c r="G54" s="13" t="s">
        <v>1432</v>
      </c>
    </row>
    <row r="55" spans="1:7" x14ac:dyDescent="0.25">
      <c r="A55" s="19" t="s">
        <v>1431</v>
      </c>
      <c r="B55" s="19"/>
      <c r="G55" t="s">
        <v>1410</v>
      </c>
    </row>
    <row r="56" spans="1:7" x14ac:dyDescent="0.25">
      <c r="A56" s="11" t="s">
        <v>1409</v>
      </c>
      <c r="B56" t="s">
        <v>1410</v>
      </c>
      <c r="G56" s="2">
        <v>28082936</v>
      </c>
    </row>
    <row r="57" spans="1:7" x14ac:dyDescent="0.25">
      <c r="A57" s="12" t="s">
        <v>1419</v>
      </c>
      <c r="B57" s="2">
        <v>2919448</v>
      </c>
    </row>
    <row r="58" spans="1:7" x14ac:dyDescent="0.25">
      <c r="A58" s="12" t="s">
        <v>1420</v>
      </c>
      <c r="B58" s="2">
        <v>2716210</v>
      </c>
      <c r="G58" s="13" t="s">
        <v>1433</v>
      </c>
    </row>
    <row r="59" spans="1:7" x14ac:dyDescent="0.25">
      <c r="A59" s="12" t="s">
        <v>1421</v>
      </c>
      <c r="B59" s="2">
        <v>3246292</v>
      </c>
      <c r="G59" t="s">
        <v>1413</v>
      </c>
    </row>
    <row r="60" spans="1:7" x14ac:dyDescent="0.25">
      <c r="A60" s="12" t="s">
        <v>1422</v>
      </c>
      <c r="B60" s="2">
        <v>3356835</v>
      </c>
      <c r="G60" s="2">
        <v>9766653</v>
      </c>
    </row>
    <row r="61" spans="1:7" x14ac:dyDescent="0.25">
      <c r="A61" s="12" t="s">
        <v>1423</v>
      </c>
      <c r="B61" s="2">
        <v>2982542</v>
      </c>
    </row>
    <row r="62" spans="1:7" x14ac:dyDescent="0.25">
      <c r="A62" s="12" t="s">
        <v>1424</v>
      </c>
      <c r="B62" s="2">
        <v>3306122</v>
      </c>
      <c r="G62" s="13" t="s">
        <v>1434</v>
      </c>
    </row>
    <row r="63" spans="1:7" x14ac:dyDescent="0.25">
      <c r="A63" s="12" t="s">
        <v>1425</v>
      </c>
      <c r="B63" s="2">
        <v>1976673</v>
      </c>
      <c r="G63" t="s">
        <v>1417</v>
      </c>
    </row>
    <row r="64" spans="1:7" x14ac:dyDescent="0.25">
      <c r="A64" s="12" t="s">
        <v>1426</v>
      </c>
      <c r="B64" s="2">
        <v>1434225</v>
      </c>
      <c r="G64">
        <v>2248</v>
      </c>
    </row>
    <row r="65" spans="1:7" x14ac:dyDescent="0.25">
      <c r="A65" s="12" t="s">
        <v>1427</v>
      </c>
      <c r="B65" s="2">
        <v>1257561</v>
      </c>
    </row>
    <row r="66" spans="1:7" x14ac:dyDescent="0.25">
      <c r="A66" s="12" t="s">
        <v>1428</v>
      </c>
      <c r="B66" s="2">
        <v>1539463</v>
      </c>
      <c r="G66" s="13" t="s">
        <v>1436</v>
      </c>
    </row>
    <row r="67" spans="1:7" x14ac:dyDescent="0.25">
      <c r="A67" s="12" t="s">
        <v>1429</v>
      </c>
      <c r="B67" s="2">
        <v>1772345</v>
      </c>
      <c r="G67" t="s">
        <v>1435</v>
      </c>
    </row>
    <row r="68" spans="1:7" x14ac:dyDescent="0.25">
      <c r="A68" s="12" t="s">
        <v>1430</v>
      </c>
      <c r="B68" s="2">
        <v>1575220</v>
      </c>
      <c r="G68" s="5">
        <v>4.3079999999999959E-2</v>
      </c>
    </row>
    <row r="69" spans="1:7" x14ac:dyDescent="0.25">
      <c r="A69" s="12" t="s">
        <v>1408</v>
      </c>
      <c r="B69" s="2">
        <v>28082936</v>
      </c>
    </row>
  </sheetData>
  <sheetProtection algorithmName="SHA-512" hashValue="0GNnU0vjPjjVeeLTSw7mG34NDuCwbi8+eitvIjOoDfyKntwTfOdcn/oPo6n4aLlMGzpVX2DNShT0NxQpbFV+wg==" saltValue="6lYlQf0NlhREQntAqHUiNQ==" spinCount="100000" sheet="1" objects="1" scenarios="1"/>
  <mergeCells count="7">
    <mergeCell ref="A55:B55"/>
    <mergeCell ref="A1:B1"/>
    <mergeCell ref="G1:H1"/>
    <mergeCell ref="A24:B24"/>
    <mergeCell ref="G24:H24"/>
    <mergeCell ref="A39:B39"/>
    <mergeCell ref="G39:H39"/>
  </mergeCells>
  <pageMargins left="0.7" right="0.7" top="0.75" bottom="0.75" header="0.3" footer="0.3"/>
  <drawing r:id="rId12"/>
  <extLst>
    <ext xmlns:x14="http://schemas.microsoft.com/office/spreadsheetml/2009/9/main" uri="{A8765BA9-456A-4dab-B4F3-ACF838C121DE}">
      <x14:slicerList>
        <x14:slicer r:id="rId1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Dirty_Skincare_Data</vt:lpstr>
      <vt:lpstr>Clean_Skincare_Data</vt:lpstr>
      <vt:lpstr>Product_Master</vt:lpstr>
      <vt:lpstr>Discount_Calculator</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Princewill Sunnyotalor</cp:lastModifiedBy>
  <dcterms:created xsi:type="dcterms:W3CDTF">2026-06-15T17:01:24Z</dcterms:created>
  <dcterms:modified xsi:type="dcterms:W3CDTF">2026-07-13T19:22:42Z</dcterms:modified>
</cp:coreProperties>
</file>